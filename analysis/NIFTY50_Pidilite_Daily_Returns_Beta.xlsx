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gression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'Data'!$A$1:$G$1236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0%;(0.00%);-"/>
    <numFmt numFmtId="166" formatCode="0.0000"/>
    <numFmt numFmtId="167" formatCode="0.0000%"/>
    <numFmt numFmtId="168" formatCode="0.0000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i val="1"/>
      <color rgb="00595959"/>
      <sz val="9"/>
    </font>
    <font>
      <name val="Arial"/>
      <color rgb="000000FF"/>
      <sz val="10"/>
    </font>
    <font>
      <name val="Arial"/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166" fontId="9" fillId="0" borderId="1" pivotButton="0" quotePrefix="0" xfId="0"/>
    <xf numFmtId="0" fontId="7" fillId="0" borderId="0" pivotButton="0" quotePrefix="0" xfId="0"/>
    <xf numFmtId="0" fontId="2" fillId="0" borderId="0" pivotButton="0" quotePrefix="0" xfId="0"/>
    <xf numFmtId="167" fontId="6" fillId="0" borderId="1" pivotButton="0" quotePrefix="0" xfId="0"/>
    <xf numFmtId="166" fontId="6" fillId="0" borderId="1" pivotButton="0" quotePrefix="0" xfId="0"/>
    <xf numFmtId="2" fontId="6" fillId="0" borderId="1" pivotButton="0" quotePrefix="0" xfId="0"/>
    <xf numFmtId="3" fontId="6" fillId="0" borderId="1" pivotButton="0" quotePrefix="0" xfId="0"/>
    <xf numFmtId="10" fontId="6" fillId="0" borderId="1" pivotButton="0" quotePrefix="0" xfId="0"/>
    <xf numFmtId="168" fontId="6" fillId="0" borderId="1" pivotButton="0" quotePrefix="0" xfId="0"/>
    <xf numFmtId="3" fontId="8" fillId="3" borderId="1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Pidilite vs NIFTY 50 — daily % returns</a:t>
            </a:r>
          </a:p>
        </rich>
      </tx>
    </title>
    <plotArea>
      <scatterChart>
        <ser>
          <idx val="0"/>
          <order val="0"/>
          <tx>
            <v>Daily returns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'Data'!$F$3:$F$1236</f>
            </numRef>
          </xVal>
          <yVal>
            <numRef>
              <f>'Data'!$G$3:$G$1236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NIFTY 50 daily return %</a:t>
                </a:r>
              </a:p>
            </rich>
          </tx>
        </title>
        <numFmt formatCode="0.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Pidilite daily return %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Analysis</author>
  </authors>
  <commentList>
    <comment ref="F1" authorId="0" shapeId="0">
      <text>
        <t>Daily simple return computed on Adjusted Close: (Adj_t / Adj_t-1) - 1.
Stored as a fraction, displayed as a percentage.
Source: Yahoo Finance chart API, symbol ^NSEI.</t>
      </text>
    </comment>
    <comment ref="G1" authorId="0" shapeId="0">
      <text>
        <t>Daily simple return computed on Adjusted Close: (Adj_t / Adj_t-1) - 1.
Adjusted Close is split- and dividend-adjusted, so this is a total return.
Source: Yahoo Finance chart API, symbol PIDILITIND.NS.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8" customWidth="1" min="4" max="4"/>
    <col width="20" customWidth="1" min="5" max="5"/>
    <col width="20" customWidth="1" min="6" max="6"/>
    <col width="20" customWidth="1" min="7" max="7"/>
  </cols>
  <sheetData>
    <row r="1" ht="34" customHeight="1">
      <c r="A1" s="1" t="inlineStr">
        <is>
          <t>Date</t>
        </is>
      </c>
      <c r="B1" s="1" t="inlineStr">
        <is>
          <t>NIFTY 50 Close</t>
        </is>
      </c>
      <c r="C1" s="1" t="inlineStr">
        <is>
          <t>NIFTY 50 Adj Close</t>
        </is>
      </c>
      <c r="D1" s="1" t="inlineStr">
        <is>
          <t>Pidilite Close (INR)</t>
        </is>
      </c>
      <c r="E1" s="1" t="inlineStr">
        <is>
          <t>Pidilite Adj Close (INR)</t>
        </is>
      </c>
      <c r="F1" s="1" t="inlineStr">
        <is>
          <t>NIFTY 50 Daily Return %</t>
        </is>
      </c>
      <c r="G1" s="1" t="inlineStr">
        <is>
          <t>Pidilite Daily Return %</t>
        </is>
      </c>
    </row>
    <row r="2">
      <c r="A2" s="2" t="n">
        <v>44445</v>
      </c>
      <c r="B2" s="3" t="n">
        <v>17377.8</v>
      </c>
      <c r="C2" s="3" t="n">
        <v>17377.8</v>
      </c>
      <c r="D2" s="3" t="n">
        <v>1170.7</v>
      </c>
      <c r="E2" s="3" t="n">
        <v>1138.87</v>
      </c>
      <c r="F2" s="4" t="n"/>
      <c r="G2" s="4" t="n"/>
    </row>
    <row r="3">
      <c r="A3" s="2" t="n">
        <v>44446</v>
      </c>
      <c r="B3" s="3" t="n">
        <v>17362.1</v>
      </c>
      <c r="C3" s="3" t="n">
        <v>17362.1</v>
      </c>
      <c r="D3" s="3" t="n">
        <v>1167.88</v>
      </c>
      <c r="E3" s="3" t="n">
        <v>1136.12</v>
      </c>
      <c r="F3" s="4">
        <f>C3/C2-1</f>
        <v/>
      </c>
      <c r="G3" s="4">
        <f>E3/E2-1</f>
        <v/>
      </c>
    </row>
    <row r="4">
      <c r="A4" s="2" t="n">
        <v>44447</v>
      </c>
      <c r="B4" s="3" t="n">
        <v>17353.5</v>
      </c>
      <c r="C4" s="3" t="n">
        <v>17353.5</v>
      </c>
      <c r="D4" s="3" t="n">
        <v>1156.65</v>
      </c>
      <c r="E4" s="3" t="n">
        <v>1125.2</v>
      </c>
      <c r="F4" s="4">
        <f>C4/C3-1</f>
        <v/>
      </c>
      <c r="G4" s="4">
        <f>E4/E3-1</f>
        <v/>
      </c>
    </row>
    <row r="5">
      <c r="A5" s="2" t="n">
        <v>44448</v>
      </c>
      <c r="B5" s="3" t="n">
        <v>17369.25</v>
      </c>
      <c r="C5" s="3" t="n">
        <v>17369.25</v>
      </c>
      <c r="D5" s="3" t="n">
        <v>1174.12</v>
      </c>
      <c r="E5" s="3" t="n">
        <v>1142.2</v>
      </c>
      <c r="F5" s="4">
        <f>C5/C4-1</f>
        <v/>
      </c>
      <c r="G5" s="4">
        <f>E5/E4-1</f>
        <v/>
      </c>
    </row>
    <row r="6">
      <c r="A6" s="2" t="n">
        <v>44452</v>
      </c>
      <c r="B6" s="3" t="n">
        <v>17355.3</v>
      </c>
      <c r="C6" s="3" t="n">
        <v>17355.3</v>
      </c>
      <c r="D6" s="3" t="n">
        <v>1198.5</v>
      </c>
      <c r="E6" s="3" t="n">
        <v>1165.91</v>
      </c>
      <c r="F6" s="4">
        <f>C6/C5-1</f>
        <v/>
      </c>
      <c r="G6" s="4">
        <f>E6/E5-1</f>
        <v/>
      </c>
    </row>
    <row r="7">
      <c r="A7" s="2" t="n">
        <v>44453</v>
      </c>
      <c r="B7" s="3" t="n">
        <v>17380</v>
      </c>
      <c r="C7" s="3" t="n">
        <v>17380</v>
      </c>
      <c r="D7" s="3" t="n">
        <v>1204.43</v>
      </c>
      <c r="E7" s="3" t="n">
        <v>1171.67</v>
      </c>
      <c r="F7" s="4">
        <f>C7/C6-1</f>
        <v/>
      </c>
      <c r="G7" s="4">
        <f>E7/E6-1</f>
        <v/>
      </c>
    </row>
    <row r="8">
      <c r="A8" s="2" t="n">
        <v>44454</v>
      </c>
      <c r="B8" s="3" t="n">
        <v>17519.45</v>
      </c>
      <c r="C8" s="3" t="n">
        <v>17519.45</v>
      </c>
      <c r="D8" s="3" t="n">
        <v>1200.38</v>
      </c>
      <c r="E8" s="3" t="n">
        <v>1167.73</v>
      </c>
      <c r="F8" s="4">
        <f>C8/C7-1</f>
        <v/>
      </c>
      <c r="G8" s="4">
        <f>E8/E7-1</f>
        <v/>
      </c>
    </row>
    <row r="9">
      <c r="A9" s="2" t="n">
        <v>44455</v>
      </c>
      <c r="B9" s="3" t="n">
        <v>17629.5</v>
      </c>
      <c r="C9" s="3" t="n">
        <v>17629.5</v>
      </c>
      <c r="D9" s="3" t="n">
        <v>1200.53</v>
      </c>
      <c r="E9" s="3" t="n">
        <v>1167.88</v>
      </c>
      <c r="F9" s="4">
        <f>C9/C8-1</f>
        <v/>
      </c>
      <c r="G9" s="4">
        <f>E9/E8-1</f>
        <v/>
      </c>
    </row>
    <row r="10">
      <c r="A10" s="2" t="n">
        <v>44456</v>
      </c>
      <c r="B10" s="3" t="n">
        <v>17585.15</v>
      </c>
      <c r="C10" s="3" t="n">
        <v>17585.15</v>
      </c>
      <c r="D10" s="3" t="n">
        <v>1184.22</v>
      </c>
      <c r="E10" s="3" t="n">
        <v>1152.02</v>
      </c>
      <c r="F10" s="4">
        <f>C10/C9-1</f>
        <v/>
      </c>
      <c r="G10" s="4">
        <f>E10/E9-1</f>
        <v/>
      </c>
    </row>
    <row r="11">
      <c r="A11" s="2" t="n">
        <v>44459</v>
      </c>
      <c r="B11" s="3" t="n">
        <v>17396.9</v>
      </c>
      <c r="C11" s="3" t="n">
        <v>17396.9</v>
      </c>
      <c r="D11" s="3" t="n">
        <v>1180.72</v>
      </c>
      <c r="E11" s="3" t="n">
        <v>1148.62</v>
      </c>
      <c r="F11" s="4">
        <f>C11/C10-1</f>
        <v/>
      </c>
      <c r="G11" s="4">
        <f>E11/E10-1</f>
        <v/>
      </c>
    </row>
    <row r="12">
      <c r="A12" s="2" t="n">
        <v>44460</v>
      </c>
      <c r="B12" s="3" t="n">
        <v>17562</v>
      </c>
      <c r="C12" s="3" t="n">
        <v>17562</v>
      </c>
      <c r="D12" s="3" t="n">
        <v>1215.38</v>
      </c>
      <c r="E12" s="3" t="n">
        <v>1182.33</v>
      </c>
      <c r="F12" s="4">
        <f>C12/C11-1</f>
        <v/>
      </c>
      <c r="G12" s="4">
        <f>E12/E11-1</f>
        <v/>
      </c>
    </row>
    <row r="13">
      <c r="A13" s="2" t="n">
        <v>44461</v>
      </c>
      <c r="B13" s="3" t="n">
        <v>17546.65</v>
      </c>
      <c r="C13" s="3" t="n">
        <v>17546.65</v>
      </c>
      <c r="D13" s="3" t="n">
        <v>1209</v>
      </c>
      <c r="E13" s="3" t="n">
        <v>1176.12</v>
      </c>
      <c r="F13" s="4">
        <f>C13/C12-1</f>
        <v/>
      </c>
      <c r="G13" s="4">
        <f>E13/E12-1</f>
        <v/>
      </c>
    </row>
    <row r="14">
      <c r="A14" s="2" t="n">
        <v>44462</v>
      </c>
      <c r="B14" s="3" t="n">
        <v>17822.95</v>
      </c>
      <c r="C14" s="3" t="n">
        <v>17822.95</v>
      </c>
      <c r="D14" s="3" t="n">
        <v>1217.5</v>
      </c>
      <c r="E14" s="3" t="n">
        <v>1184.39</v>
      </c>
      <c r="F14" s="4">
        <f>C14/C13-1</f>
        <v/>
      </c>
      <c r="G14" s="4">
        <f>E14/E13-1</f>
        <v/>
      </c>
    </row>
    <row r="15">
      <c r="A15" s="2" t="n">
        <v>44463</v>
      </c>
      <c r="B15" s="3" t="n">
        <v>17853.2</v>
      </c>
      <c r="C15" s="3" t="n">
        <v>17853.2</v>
      </c>
      <c r="D15" s="3" t="n">
        <v>1225.97</v>
      </c>
      <c r="E15" s="3" t="n">
        <v>1192.64</v>
      </c>
      <c r="F15" s="4">
        <f>C15/C14-1</f>
        <v/>
      </c>
      <c r="G15" s="4">
        <f>E15/E14-1</f>
        <v/>
      </c>
    </row>
    <row r="16">
      <c r="A16" s="2" t="n">
        <v>44466</v>
      </c>
      <c r="B16" s="3" t="n">
        <v>17855.1</v>
      </c>
      <c r="C16" s="3" t="n">
        <v>17855.1</v>
      </c>
      <c r="D16" s="3" t="n">
        <v>1202.78</v>
      </c>
      <c r="E16" s="3" t="n">
        <v>1170.07</v>
      </c>
      <c r="F16" s="4">
        <f>C16/C15-1</f>
        <v/>
      </c>
      <c r="G16" s="4">
        <f>E16/E15-1</f>
        <v/>
      </c>
    </row>
    <row r="17">
      <c r="A17" s="2" t="n">
        <v>44467</v>
      </c>
      <c r="B17" s="3" t="n">
        <v>17748.6</v>
      </c>
      <c r="C17" s="3" t="n">
        <v>17748.6</v>
      </c>
      <c r="D17" s="3" t="n">
        <v>1205.5</v>
      </c>
      <c r="E17" s="3" t="n">
        <v>1172.72</v>
      </c>
      <c r="F17" s="4">
        <f>C17/C16-1</f>
        <v/>
      </c>
      <c r="G17" s="4">
        <f>E17/E16-1</f>
        <v/>
      </c>
    </row>
    <row r="18">
      <c r="A18" s="2" t="n">
        <v>44468</v>
      </c>
      <c r="B18" s="3" t="n">
        <v>17711.3</v>
      </c>
      <c r="C18" s="3" t="n">
        <v>17711.3</v>
      </c>
      <c r="D18" s="3" t="n">
        <v>1201.12</v>
      </c>
      <c r="E18" s="3" t="n">
        <v>1168.46</v>
      </c>
      <c r="F18" s="4">
        <f>C18/C17-1</f>
        <v/>
      </c>
      <c r="G18" s="4">
        <f>E18/E17-1</f>
        <v/>
      </c>
    </row>
    <row r="19">
      <c r="A19" s="2" t="n">
        <v>44469</v>
      </c>
      <c r="B19" s="3" t="n">
        <v>17618.15</v>
      </c>
      <c r="C19" s="3" t="n">
        <v>17618.15</v>
      </c>
      <c r="D19" s="3" t="n">
        <v>1190.97</v>
      </c>
      <c r="E19" s="3" t="n">
        <v>1158.59</v>
      </c>
      <c r="F19" s="4">
        <f>C19/C18-1</f>
        <v/>
      </c>
      <c r="G19" s="4">
        <f>E19/E18-1</f>
        <v/>
      </c>
    </row>
    <row r="20">
      <c r="A20" s="2" t="n">
        <v>44470</v>
      </c>
      <c r="B20" s="3" t="n">
        <v>17532.05</v>
      </c>
      <c r="C20" s="3" t="n">
        <v>17532.05</v>
      </c>
      <c r="D20" s="3" t="n">
        <v>1208.62</v>
      </c>
      <c r="E20" s="3" t="n">
        <v>1175.76</v>
      </c>
      <c r="F20" s="4">
        <f>C20/C19-1</f>
        <v/>
      </c>
      <c r="G20" s="4">
        <f>E20/E19-1</f>
        <v/>
      </c>
    </row>
    <row r="21">
      <c r="A21" s="2" t="n">
        <v>44473</v>
      </c>
      <c r="B21" s="3" t="n">
        <v>17691.25</v>
      </c>
      <c r="C21" s="3" t="n">
        <v>17691.25</v>
      </c>
      <c r="D21" s="3" t="n">
        <v>1210.5</v>
      </c>
      <c r="E21" s="3" t="n">
        <v>1177.58</v>
      </c>
      <c r="F21" s="4">
        <f>C21/C20-1</f>
        <v/>
      </c>
      <c r="G21" s="4">
        <f>E21/E20-1</f>
        <v/>
      </c>
    </row>
    <row r="22">
      <c r="A22" s="2" t="n">
        <v>44474</v>
      </c>
      <c r="B22" s="3" t="n">
        <v>17822.3</v>
      </c>
      <c r="C22" s="3" t="n">
        <v>17822.3</v>
      </c>
      <c r="D22" s="3" t="n">
        <v>1218.18</v>
      </c>
      <c r="E22" s="3" t="n">
        <v>1185.05</v>
      </c>
      <c r="F22" s="4">
        <f>C22/C21-1</f>
        <v/>
      </c>
      <c r="G22" s="4">
        <f>E22/E21-1</f>
        <v/>
      </c>
    </row>
    <row r="23">
      <c r="A23" s="2" t="n">
        <v>44475</v>
      </c>
      <c r="B23" s="3" t="n">
        <v>17646</v>
      </c>
      <c r="C23" s="3" t="n">
        <v>17646</v>
      </c>
      <c r="D23" s="3" t="n">
        <v>1207.82</v>
      </c>
      <c r="E23" s="3" t="n">
        <v>1174.98</v>
      </c>
      <c r="F23" s="4">
        <f>C23/C22-1</f>
        <v/>
      </c>
      <c r="G23" s="4">
        <f>E23/E22-1</f>
        <v/>
      </c>
    </row>
    <row r="24">
      <c r="A24" s="2" t="n">
        <v>44476</v>
      </c>
      <c r="B24" s="3" t="n">
        <v>17790.35</v>
      </c>
      <c r="C24" s="3" t="n">
        <v>17790.35</v>
      </c>
      <c r="D24" s="3" t="n">
        <v>1230.25</v>
      </c>
      <c r="E24" s="3" t="n">
        <v>1196.8</v>
      </c>
      <c r="F24" s="4">
        <f>C24/C23-1</f>
        <v/>
      </c>
      <c r="G24" s="4">
        <f>E24/E23-1</f>
        <v/>
      </c>
    </row>
    <row r="25">
      <c r="A25" s="2" t="n">
        <v>44477</v>
      </c>
      <c r="B25" s="3" t="n">
        <v>17895.2</v>
      </c>
      <c r="C25" s="3" t="n">
        <v>17895.2</v>
      </c>
      <c r="D25" s="3" t="n">
        <v>1220.8</v>
      </c>
      <c r="E25" s="3" t="n">
        <v>1187.6</v>
      </c>
      <c r="F25" s="4">
        <f>C25/C24-1</f>
        <v/>
      </c>
      <c r="G25" s="4">
        <f>E25/E24-1</f>
        <v/>
      </c>
    </row>
    <row r="26">
      <c r="A26" s="2" t="n">
        <v>44480</v>
      </c>
      <c r="B26" s="3" t="n">
        <v>17945.95</v>
      </c>
      <c r="C26" s="3" t="n">
        <v>17945.95</v>
      </c>
      <c r="D26" s="3" t="n">
        <v>1231.38</v>
      </c>
      <c r="E26" s="3" t="n">
        <v>1197.89</v>
      </c>
      <c r="F26" s="4">
        <f>C26/C25-1</f>
        <v/>
      </c>
      <c r="G26" s="4">
        <f>E26/E25-1</f>
        <v/>
      </c>
    </row>
    <row r="27">
      <c r="A27" s="2" t="n">
        <v>44481</v>
      </c>
      <c r="B27" s="3" t="n">
        <v>17991.95</v>
      </c>
      <c r="C27" s="3" t="n">
        <v>17991.95</v>
      </c>
      <c r="D27" s="3" t="n">
        <v>1230.55</v>
      </c>
      <c r="E27" s="3" t="n">
        <v>1197.09</v>
      </c>
      <c r="F27" s="4">
        <f>C27/C26-1</f>
        <v/>
      </c>
      <c r="G27" s="4">
        <f>E27/E26-1</f>
        <v/>
      </c>
    </row>
    <row r="28">
      <c r="A28" s="2" t="n">
        <v>44482</v>
      </c>
      <c r="B28" s="3" t="n">
        <v>18161.75</v>
      </c>
      <c r="C28" s="3" t="n">
        <v>18161.75</v>
      </c>
      <c r="D28" s="3" t="n">
        <v>1237.15</v>
      </c>
      <c r="E28" s="3" t="n">
        <v>1203.51</v>
      </c>
      <c r="F28" s="4">
        <f>C28/C27-1</f>
        <v/>
      </c>
      <c r="G28" s="4">
        <f>E28/E27-1</f>
        <v/>
      </c>
    </row>
    <row r="29">
      <c r="A29" s="2" t="n">
        <v>44483</v>
      </c>
      <c r="B29" s="3" t="n">
        <v>18338.55</v>
      </c>
      <c r="C29" s="3" t="n">
        <v>18338.55</v>
      </c>
      <c r="D29" s="3" t="n">
        <v>1240.55</v>
      </c>
      <c r="E29" s="3" t="n">
        <v>1206.82</v>
      </c>
      <c r="F29" s="4">
        <f>C29/C28-1</f>
        <v/>
      </c>
      <c r="G29" s="4">
        <f>E29/E28-1</f>
        <v/>
      </c>
    </row>
    <row r="30">
      <c r="A30" s="2" t="n">
        <v>44487</v>
      </c>
      <c r="B30" s="3" t="n">
        <v>18477.05</v>
      </c>
      <c r="C30" s="3" t="n">
        <v>18477.05</v>
      </c>
      <c r="D30" s="3" t="n">
        <v>1250.9</v>
      </c>
      <c r="E30" s="3" t="n">
        <v>1216.88</v>
      </c>
      <c r="F30" s="4">
        <f>C30/C29-1</f>
        <v/>
      </c>
      <c r="G30" s="4">
        <f>E30/E29-1</f>
        <v/>
      </c>
    </row>
    <row r="31">
      <c r="A31" s="2" t="n">
        <v>44488</v>
      </c>
      <c r="B31" s="3" t="n">
        <v>18418.75</v>
      </c>
      <c r="C31" s="3" t="n">
        <v>18418.75</v>
      </c>
      <c r="D31" s="3" t="n">
        <v>1235.43</v>
      </c>
      <c r="E31" s="3" t="n">
        <v>1201.83</v>
      </c>
      <c r="F31" s="4">
        <f>C31/C30-1</f>
        <v/>
      </c>
      <c r="G31" s="4">
        <f>E31/E30-1</f>
        <v/>
      </c>
    </row>
    <row r="32">
      <c r="A32" s="2" t="n">
        <v>44489</v>
      </c>
      <c r="B32" s="3" t="n">
        <v>18266.6</v>
      </c>
      <c r="C32" s="3" t="n">
        <v>18266.6</v>
      </c>
      <c r="D32" s="3" t="n">
        <v>1208.75</v>
      </c>
      <c r="E32" s="3" t="n">
        <v>1175.88</v>
      </c>
      <c r="F32" s="4">
        <f>C32/C31-1</f>
        <v/>
      </c>
      <c r="G32" s="4">
        <f>E32/E31-1</f>
        <v/>
      </c>
    </row>
    <row r="33">
      <c r="A33" s="2" t="n">
        <v>44490</v>
      </c>
      <c r="B33" s="3" t="n">
        <v>18178.1</v>
      </c>
      <c r="C33" s="3" t="n">
        <v>18178.1</v>
      </c>
      <c r="D33" s="3" t="n">
        <v>1152.75</v>
      </c>
      <c r="E33" s="3" t="n">
        <v>1121.4</v>
      </c>
      <c r="F33" s="4">
        <f>C33/C32-1</f>
        <v/>
      </c>
      <c r="G33" s="4">
        <f>E33/E32-1</f>
        <v/>
      </c>
    </row>
    <row r="34">
      <c r="A34" s="2" t="n">
        <v>44491</v>
      </c>
      <c r="B34" s="3" t="n">
        <v>18114.9</v>
      </c>
      <c r="C34" s="3" t="n">
        <v>18114.9</v>
      </c>
      <c r="D34" s="3" t="n">
        <v>1158.2</v>
      </c>
      <c r="E34" s="3" t="n">
        <v>1126.71</v>
      </c>
      <c r="F34" s="4">
        <f>C34/C33-1</f>
        <v/>
      </c>
      <c r="G34" s="4">
        <f>E34/E33-1</f>
        <v/>
      </c>
    </row>
    <row r="35">
      <c r="A35" s="2" t="n">
        <v>44494</v>
      </c>
      <c r="B35" s="3" t="n">
        <v>18125.4</v>
      </c>
      <c r="C35" s="3" t="n">
        <v>18125.4</v>
      </c>
      <c r="D35" s="3" t="n">
        <v>1142.97</v>
      </c>
      <c r="E35" s="3" t="n">
        <v>1111.89</v>
      </c>
      <c r="F35" s="4">
        <f>C35/C34-1</f>
        <v/>
      </c>
      <c r="G35" s="4">
        <f>E35/E34-1</f>
        <v/>
      </c>
    </row>
    <row r="36">
      <c r="A36" s="2" t="n">
        <v>44495</v>
      </c>
      <c r="B36" s="3" t="n">
        <v>18268.4</v>
      </c>
      <c r="C36" s="3" t="n">
        <v>18268.4</v>
      </c>
      <c r="D36" s="3" t="n">
        <v>1159.43</v>
      </c>
      <c r="E36" s="3" t="n">
        <v>1127.9</v>
      </c>
      <c r="F36" s="4">
        <f>C36/C35-1</f>
        <v/>
      </c>
      <c r="G36" s="4">
        <f>E36/E35-1</f>
        <v/>
      </c>
    </row>
    <row r="37">
      <c r="A37" s="2" t="n">
        <v>44496</v>
      </c>
      <c r="B37" s="3" t="n">
        <v>18210.95</v>
      </c>
      <c r="C37" s="3" t="n">
        <v>18210.95</v>
      </c>
      <c r="D37" s="3" t="n">
        <v>1184.22</v>
      </c>
      <c r="E37" s="3" t="n">
        <v>1152.02</v>
      </c>
      <c r="F37" s="4">
        <f>C37/C36-1</f>
        <v/>
      </c>
      <c r="G37" s="4">
        <f>E37/E36-1</f>
        <v/>
      </c>
    </row>
    <row r="38">
      <c r="A38" s="2" t="n">
        <v>44497</v>
      </c>
      <c r="B38" s="3" t="n">
        <v>17857.25</v>
      </c>
      <c r="C38" s="3" t="n">
        <v>17857.25</v>
      </c>
      <c r="D38" s="3" t="n">
        <v>1184</v>
      </c>
      <c r="E38" s="3" t="n">
        <v>1151.8</v>
      </c>
      <c r="F38" s="4">
        <f>C38/C37-1</f>
        <v/>
      </c>
      <c r="G38" s="4">
        <f>E38/E37-1</f>
        <v/>
      </c>
    </row>
    <row r="39">
      <c r="A39" s="2" t="n">
        <v>44498</v>
      </c>
      <c r="B39" s="3" t="n">
        <v>17671.65</v>
      </c>
      <c r="C39" s="3" t="n">
        <v>17671.65</v>
      </c>
      <c r="D39" s="3" t="n">
        <v>1156.82</v>
      </c>
      <c r="E39" s="3" t="n">
        <v>1125.37</v>
      </c>
      <c r="F39" s="4">
        <f>C39/C38-1</f>
        <v/>
      </c>
      <c r="G39" s="4">
        <f>E39/E38-1</f>
        <v/>
      </c>
    </row>
    <row r="40">
      <c r="A40" s="2" t="n">
        <v>44501</v>
      </c>
      <c r="B40" s="3" t="n">
        <v>17929.65</v>
      </c>
      <c r="C40" s="3" t="n">
        <v>17929.65</v>
      </c>
      <c r="D40" s="3" t="n">
        <v>1181.47</v>
      </c>
      <c r="E40" s="3" t="n">
        <v>1149.35</v>
      </c>
      <c r="F40" s="4">
        <f>C40/C39-1</f>
        <v/>
      </c>
      <c r="G40" s="4">
        <f>E40/E39-1</f>
        <v/>
      </c>
    </row>
    <row r="41">
      <c r="A41" s="2" t="n">
        <v>44502</v>
      </c>
      <c r="B41" s="3" t="n">
        <v>17888.95</v>
      </c>
      <c r="C41" s="3" t="n">
        <v>17888.95</v>
      </c>
      <c r="D41" s="3" t="n">
        <v>1171.88</v>
      </c>
      <c r="E41" s="3" t="n">
        <v>1140.01</v>
      </c>
      <c r="F41" s="4">
        <f>C41/C40-1</f>
        <v/>
      </c>
      <c r="G41" s="4">
        <f>E41/E40-1</f>
        <v/>
      </c>
    </row>
    <row r="42">
      <c r="A42" s="2" t="n">
        <v>44503</v>
      </c>
      <c r="B42" s="3" t="n">
        <v>17829.2</v>
      </c>
      <c r="C42" s="3" t="n">
        <v>17829.2</v>
      </c>
      <c r="D42" s="3" t="n">
        <v>1179.75</v>
      </c>
      <c r="E42" s="3" t="n">
        <v>1147.67</v>
      </c>
      <c r="F42" s="4">
        <f>C42/C41-1</f>
        <v/>
      </c>
      <c r="G42" s="4">
        <f>E42/E41-1</f>
        <v/>
      </c>
    </row>
    <row r="43">
      <c r="A43" s="2" t="n">
        <v>44504</v>
      </c>
      <c r="B43" s="3" t="n">
        <v>17916.8</v>
      </c>
      <c r="C43" s="3" t="n">
        <v>17916.8</v>
      </c>
      <c r="D43" s="3" t="n">
        <v>1204</v>
      </c>
      <c r="E43" s="3" t="n">
        <v>1171.26</v>
      </c>
      <c r="F43" s="4">
        <f>C43/C42-1</f>
        <v/>
      </c>
      <c r="G43" s="4">
        <f>E43/E42-1</f>
        <v/>
      </c>
    </row>
    <row r="44">
      <c r="A44" s="2" t="n">
        <v>44508</v>
      </c>
      <c r="B44" s="3" t="n">
        <v>18068.55</v>
      </c>
      <c r="C44" s="3" t="n">
        <v>18068.55</v>
      </c>
      <c r="D44" s="3" t="n">
        <v>1191.15</v>
      </c>
      <c r="E44" s="3" t="n">
        <v>1158.76</v>
      </c>
      <c r="F44" s="4">
        <f>C44/C43-1</f>
        <v/>
      </c>
      <c r="G44" s="4">
        <f>E44/E43-1</f>
        <v/>
      </c>
    </row>
    <row r="45">
      <c r="A45" s="2" t="n">
        <v>44509</v>
      </c>
      <c r="B45" s="3" t="n">
        <v>18044.25</v>
      </c>
      <c r="C45" s="3" t="n">
        <v>18044.25</v>
      </c>
      <c r="D45" s="3" t="n">
        <v>1196.05</v>
      </c>
      <c r="E45" s="3" t="n">
        <v>1163.53</v>
      </c>
      <c r="F45" s="4">
        <f>C45/C44-1</f>
        <v/>
      </c>
      <c r="G45" s="4">
        <f>E45/E44-1</f>
        <v/>
      </c>
    </row>
    <row r="46">
      <c r="A46" s="2" t="n">
        <v>44510</v>
      </c>
      <c r="B46" s="3" t="n">
        <v>18017.2</v>
      </c>
      <c r="C46" s="3" t="n">
        <v>18017.2</v>
      </c>
      <c r="D46" s="3" t="n">
        <v>1183.22</v>
      </c>
      <c r="E46" s="3" t="n">
        <v>1151.05</v>
      </c>
      <c r="F46" s="4">
        <f>C46/C45-1</f>
        <v/>
      </c>
      <c r="G46" s="4">
        <f>E46/E45-1</f>
        <v/>
      </c>
    </row>
    <row r="47">
      <c r="A47" s="2" t="n">
        <v>44511</v>
      </c>
      <c r="B47" s="3" t="n">
        <v>17873.6</v>
      </c>
      <c r="C47" s="3" t="n">
        <v>17873.6</v>
      </c>
      <c r="D47" s="3" t="n">
        <v>1237</v>
      </c>
      <c r="E47" s="3" t="n">
        <v>1203.36</v>
      </c>
      <c r="F47" s="4">
        <f>C47/C46-1</f>
        <v/>
      </c>
      <c r="G47" s="4">
        <f>E47/E46-1</f>
        <v/>
      </c>
    </row>
    <row r="48">
      <c r="A48" s="2" t="n">
        <v>44512</v>
      </c>
      <c r="B48" s="3" t="n">
        <v>18102.75</v>
      </c>
      <c r="C48" s="3" t="n">
        <v>18102.75</v>
      </c>
      <c r="D48" s="3" t="n">
        <v>1213.1</v>
      </c>
      <c r="E48" s="3" t="n">
        <v>1180.11</v>
      </c>
      <c r="F48" s="4">
        <f>C48/C47-1</f>
        <v/>
      </c>
      <c r="G48" s="4">
        <f>E48/E47-1</f>
        <v/>
      </c>
    </row>
    <row r="49">
      <c r="A49" s="2" t="n">
        <v>44515</v>
      </c>
      <c r="B49" s="3" t="n">
        <v>18109.45</v>
      </c>
      <c r="C49" s="3" t="n">
        <v>18109.45</v>
      </c>
      <c r="D49" s="3" t="n">
        <v>1215.78</v>
      </c>
      <c r="E49" s="3" t="n">
        <v>1182.71</v>
      </c>
      <c r="F49" s="4">
        <f>C49/C48-1</f>
        <v/>
      </c>
      <c r="G49" s="4">
        <f>E49/E48-1</f>
        <v/>
      </c>
    </row>
    <row r="50">
      <c r="A50" s="2" t="n">
        <v>44516</v>
      </c>
      <c r="B50" s="3" t="n">
        <v>17999.2</v>
      </c>
      <c r="C50" s="3" t="n">
        <v>17999.2</v>
      </c>
      <c r="D50" s="3" t="n">
        <v>1222.38</v>
      </c>
      <c r="E50" s="3" t="n">
        <v>1189.14</v>
      </c>
      <c r="F50" s="4">
        <f>C50/C49-1</f>
        <v/>
      </c>
      <c r="G50" s="4">
        <f>E50/E49-1</f>
        <v/>
      </c>
    </row>
    <row r="51">
      <c r="A51" s="2" t="n">
        <v>44517</v>
      </c>
      <c r="B51" s="3" t="n">
        <v>17898.65</v>
      </c>
      <c r="C51" s="3" t="n">
        <v>17898.65</v>
      </c>
      <c r="D51" s="3" t="n">
        <v>1207.22</v>
      </c>
      <c r="E51" s="3" t="n">
        <v>1174.4</v>
      </c>
      <c r="F51" s="4">
        <f>C51/C50-1</f>
        <v/>
      </c>
      <c r="G51" s="4">
        <f>E51/E50-1</f>
        <v/>
      </c>
    </row>
    <row r="52">
      <c r="A52" s="2" t="n">
        <v>44518</v>
      </c>
      <c r="B52" s="3" t="n">
        <v>17764.8</v>
      </c>
      <c r="C52" s="3" t="n">
        <v>17764.8</v>
      </c>
      <c r="D52" s="3" t="n">
        <v>1219.8</v>
      </c>
      <c r="E52" s="3" t="n">
        <v>1186.63</v>
      </c>
      <c r="F52" s="4">
        <f>C52/C51-1</f>
        <v/>
      </c>
      <c r="G52" s="4">
        <f>E52/E51-1</f>
        <v/>
      </c>
    </row>
    <row r="53">
      <c r="A53" s="2" t="n">
        <v>44522</v>
      </c>
      <c r="B53" s="3" t="n">
        <v>17416.55</v>
      </c>
      <c r="C53" s="3" t="n">
        <v>17416.55</v>
      </c>
      <c r="D53" s="3" t="n">
        <v>1175</v>
      </c>
      <c r="E53" s="3" t="n">
        <v>1143.05</v>
      </c>
      <c r="F53" s="4">
        <f>C53/C52-1</f>
        <v/>
      </c>
      <c r="G53" s="4">
        <f>E53/E52-1</f>
        <v/>
      </c>
    </row>
    <row r="54">
      <c r="A54" s="2" t="n">
        <v>44523</v>
      </c>
      <c r="B54" s="3" t="n">
        <v>17503.35</v>
      </c>
      <c r="C54" s="3" t="n">
        <v>17503.35</v>
      </c>
      <c r="D54" s="3" t="n">
        <v>1171.6</v>
      </c>
      <c r="E54" s="3" t="n">
        <v>1139.74</v>
      </c>
      <c r="F54" s="4">
        <f>C54/C53-1</f>
        <v/>
      </c>
      <c r="G54" s="4">
        <f>E54/E53-1</f>
        <v/>
      </c>
    </row>
    <row r="55">
      <c r="A55" s="2" t="n">
        <v>44524</v>
      </c>
      <c r="B55" s="3" t="n">
        <v>17415.05</v>
      </c>
      <c r="C55" s="3" t="n">
        <v>17415.05</v>
      </c>
      <c r="D55" s="3" t="n">
        <v>1131.55</v>
      </c>
      <c r="E55" s="3" t="n">
        <v>1100.78</v>
      </c>
      <c r="F55" s="4">
        <f>C55/C54-1</f>
        <v/>
      </c>
      <c r="G55" s="4">
        <f>E55/E54-1</f>
        <v/>
      </c>
    </row>
    <row r="56">
      <c r="A56" s="2" t="n">
        <v>44525</v>
      </c>
      <c r="B56" s="3" t="n">
        <v>17536.25</v>
      </c>
      <c r="C56" s="3" t="n">
        <v>17536.25</v>
      </c>
      <c r="D56" s="3" t="n">
        <v>1125.82</v>
      </c>
      <c r="E56" s="3" t="n">
        <v>1095.21</v>
      </c>
      <c r="F56" s="4">
        <f>C56/C55-1</f>
        <v/>
      </c>
      <c r="G56" s="4">
        <f>E56/E55-1</f>
        <v/>
      </c>
    </row>
    <row r="57">
      <c r="A57" s="2" t="n">
        <v>44526</v>
      </c>
      <c r="B57" s="3" t="n">
        <v>17026.45</v>
      </c>
      <c r="C57" s="3" t="n">
        <v>17026.45</v>
      </c>
      <c r="D57" s="3" t="n">
        <v>1116.15</v>
      </c>
      <c r="E57" s="3" t="n">
        <v>1085.8</v>
      </c>
      <c r="F57" s="4">
        <f>C57/C56-1</f>
        <v/>
      </c>
      <c r="G57" s="4">
        <f>E57/E56-1</f>
        <v/>
      </c>
    </row>
    <row r="58">
      <c r="A58" s="2" t="n">
        <v>44529</v>
      </c>
      <c r="B58" s="3" t="n">
        <v>17053.95</v>
      </c>
      <c r="C58" s="3" t="n">
        <v>17053.95</v>
      </c>
      <c r="D58" s="3" t="n">
        <v>1109.05</v>
      </c>
      <c r="E58" s="3" t="n">
        <v>1078.89</v>
      </c>
      <c r="F58" s="4">
        <f>C58/C57-1</f>
        <v/>
      </c>
      <c r="G58" s="4">
        <f>E58/E57-1</f>
        <v/>
      </c>
    </row>
    <row r="59">
      <c r="A59" s="2" t="n">
        <v>44530</v>
      </c>
      <c r="B59" s="3" t="n">
        <v>16983.2</v>
      </c>
      <c r="C59" s="3" t="n">
        <v>16983.2</v>
      </c>
      <c r="D59" s="3" t="n">
        <v>1102.93</v>
      </c>
      <c r="E59" s="3" t="n">
        <v>1072.93</v>
      </c>
      <c r="F59" s="4">
        <f>C59/C58-1</f>
        <v/>
      </c>
      <c r="G59" s="4">
        <f>E59/E58-1</f>
        <v/>
      </c>
    </row>
    <row r="60">
      <c r="A60" s="2" t="n">
        <v>44531</v>
      </c>
      <c r="B60" s="3" t="n">
        <v>17166.9</v>
      </c>
      <c r="C60" s="3" t="n">
        <v>17166.9</v>
      </c>
      <c r="D60" s="3" t="n">
        <v>1102.22</v>
      </c>
      <c r="E60" s="3" t="n">
        <v>1072.25</v>
      </c>
      <c r="F60" s="4">
        <f>C60/C59-1</f>
        <v/>
      </c>
      <c r="G60" s="4">
        <f>E60/E59-1</f>
        <v/>
      </c>
    </row>
    <row r="61">
      <c r="A61" s="2" t="n">
        <v>44532</v>
      </c>
      <c r="B61" s="3" t="n">
        <v>17401.65</v>
      </c>
      <c r="C61" s="3" t="n">
        <v>17401.65</v>
      </c>
      <c r="D61" s="3" t="n">
        <v>1117.5</v>
      </c>
      <c r="E61" s="3" t="n">
        <v>1087.11</v>
      </c>
      <c r="F61" s="4">
        <f>C61/C60-1</f>
        <v/>
      </c>
      <c r="G61" s="4">
        <f>E61/E60-1</f>
        <v/>
      </c>
    </row>
    <row r="62">
      <c r="A62" s="2" t="n">
        <v>44533</v>
      </c>
      <c r="B62" s="3" t="n">
        <v>17196.7</v>
      </c>
      <c r="C62" s="3" t="n">
        <v>17196.7</v>
      </c>
      <c r="D62" s="3" t="n">
        <v>1104.22</v>
      </c>
      <c r="E62" s="3" t="n">
        <v>1074.2</v>
      </c>
      <c r="F62" s="4">
        <f>C62/C61-1</f>
        <v/>
      </c>
      <c r="G62" s="4">
        <f>E62/E61-1</f>
        <v/>
      </c>
    </row>
    <row r="63">
      <c r="A63" s="2" t="n">
        <v>44536</v>
      </c>
      <c r="B63" s="3" t="n">
        <v>16912.25</v>
      </c>
      <c r="C63" s="3" t="n">
        <v>16912.25</v>
      </c>
      <c r="D63" s="3" t="n">
        <v>1100.78</v>
      </c>
      <c r="E63" s="3" t="n">
        <v>1070.84</v>
      </c>
      <c r="F63" s="4">
        <f>C63/C62-1</f>
        <v/>
      </c>
      <c r="G63" s="4">
        <f>E63/E62-1</f>
        <v/>
      </c>
    </row>
    <row r="64">
      <c r="A64" s="2" t="n">
        <v>44537</v>
      </c>
      <c r="B64" s="3" t="n">
        <v>17176.7</v>
      </c>
      <c r="C64" s="3" t="n">
        <v>17176.7</v>
      </c>
      <c r="D64" s="3" t="n">
        <v>1106.78</v>
      </c>
      <c r="E64" s="3" t="n">
        <v>1076.68</v>
      </c>
      <c r="F64" s="4">
        <f>C64/C63-1</f>
        <v/>
      </c>
      <c r="G64" s="4">
        <f>E64/E63-1</f>
        <v/>
      </c>
    </row>
    <row r="65">
      <c r="A65" s="2" t="n">
        <v>44538</v>
      </c>
      <c r="B65" s="3" t="n">
        <v>17469.75</v>
      </c>
      <c r="C65" s="3" t="n">
        <v>17469.75</v>
      </c>
      <c r="D65" s="3" t="n">
        <v>1116.03</v>
      </c>
      <c r="E65" s="3" t="n">
        <v>1085.68</v>
      </c>
      <c r="F65" s="4">
        <f>C65/C64-1</f>
        <v/>
      </c>
      <c r="G65" s="4">
        <f>E65/E64-1</f>
        <v/>
      </c>
    </row>
    <row r="66">
      <c r="A66" s="2" t="n">
        <v>44539</v>
      </c>
      <c r="B66" s="3" t="n">
        <v>17516.85</v>
      </c>
      <c r="C66" s="3" t="n">
        <v>17516.85</v>
      </c>
      <c r="D66" s="3" t="n">
        <v>1131.38</v>
      </c>
      <c r="E66" s="3" t="n">
        <v>1100.61</v>
      </c>
      <c r="F66" s="4">
        <f>C66/C65-1</f>
        <v/>
      </c>
      <c r="G66" s="4">
        <f>E66/E65-1</f>
        <v/>
      </c>
    </row>
    <row r="67">
      <c r="A67" s="2" t="n">
        <v>44540</v>
      </c>
      <c r="B67" s="3" t="n">
        <v>17511.3</v>
      </c>
      <c r="C67" s="3" t="n">
        <v>17511.3</v>
      </c>
      <c r="D67" s="3" t="n">
        <v>1162.88</v>
      </c>
      <c r="E67" s="3" t="n">
        <v>1131.25</v>
      </c>
      <c r="F67" s="4">
        <f>C67/C66-1</f>
        <v/>
      </c>
      <c r="G67" s="4">
        <f>E67/E66-1</f>
        <v/>
      </c>
    </row>
    <row r="68">
      <c r="A68" s="2" t="n">
        <v>44543</v>
      </c>
      <c r="B68" s="3" t="n">
        <v>17368.25</v>
      </c>
      <c r="C68" s="3" t="n">
        <v>17368.25</v>
      </c>
      <c r="D68" s="3" t="n">
        <v>1179.05</v>
      </c>
      <c r="E68" s="3" t="n">
        <v>1146.99</v>
      </c>
      <c r="F68" s="4">
        <f>C68/C67-1</f>
        <v/>
      </c>
      <c r="G68" s="4">
        <f>E68/E67-1</f>
        <v/>
      </c>
    </row>
    <row r="69">
      <c r="A69" s="2" t="n">
        <v>44544</v>
      </c>
      <c r="B69" s="3" t="n">
        <v>17324.9</v>
      </c>
      <c r="C69" s="3" t="n">
        <v>17324.9</v>
      </c>
      <c r="D69" s="3" t="n">
        <v>1194.62</v>
      </c>
      <c r="E69" s="3" t="n">
        <v>1162.14</v>
      </c>
      <c r="F69" s="4">
        <f>C69/C68-1</f>
        <v/>
      </c>
      <c r="G69" s="4">
        <f>E69/E68-1</f>
        <v/>
      </c>
    </row>
    <row r="70">
      <c r="A70" s="2" t="n">
        <v>44545</v>
      </c>
      <c r="B70" s="3" t="n">
        <v>17221.4</v>
      </c>
      <c r="C70" s="3" t="n">
        <v>17221.4</v>
      </c>
      <c r="D70" s="3" t="n">
        <v>1203.88</v>
      </c>
      <c r="E70" s="3" t="n">
        <v>1171.14</v>
      </c>
      <c r="F70" s="4">
        <f>C70/C69-1</f>
        <v/>
      </c>
      <c r="G70" s="4">
        <f>E70/E69-1</f>
        <v/>
      </c>
    </row>
    <row r="71">
      <c r="A71" s="2" t="n">
        <v>44546</v>
      </c>
      <c r="B71" s="3" t="n">
        <v>17248.4</v>
      </c>
      <c r="C71" s="3" t="n">
        <v>17248.4</v>
      </c>
      <c r="D71" s="3" t="n">
        <v>1209.12</v>
      </c>
      <c r="E71" s="3" t="n">
        <v>1176.25</v>
      </c>
      <c r="F71" s="4">
        <f>C71/C70-1</f>
        <v/>
      </c>
      <c r="G71" s="4">
        <f>E71/E70-1</f>
        <v/>
      </c>
    </row>
    <row r="72">
      <c r="A72" s="2" t="n">
        <v>44547</v>
      </c>
      <c r="B72" s="3" t="n">
        <v>16985.2</v>
      </c>
      <c r="C72" s="3" t="n">
        <v>16985.2</v>
      </c>
      <c r="D72" s="3" t="n">
        <v>1195.72</v>
      </c>
      <c r="E72" s="3" t="n">
        <v>1163.21</v>
      </c>
      <c r="F72" s="4">
        <f>C72/C71-1</f>
        <v/>
      </c>
      <c r="G72" s="4">
        <f>E72/E71-1</f>
        <v/>
      </c>
    </row>
    <row r="73">
      <c r="A73" s="2" t="n">
        <v>44550</v>
      </c>
      <c r="B73" s="3" t="n">
        <v>16614.2</v>
      </c>
      <c r="C73" s="3" t="n">
        <v>16614.2</v>
      </c>
      <c r="D73" s="3" t="n">
        <v>1202.78</v>
      </c>
      <c r="E73" s="3" t="n">
        <v>1170.07</v>
      </c>
      <c r="F73" s="4">
        <f>C73/C72-1</f>
        <v/>
      </c>
      <c r="G73" s="4">
        <f>E73/E72-1</f>
        <v/>
      </c>
    </row>
    <row r="74">
      <c r="A74" s="2" t="n">
        <v>44551</v>
      </c>
      <c r="B74" s="3" t="n">
        <v>16770.85</v>
      </c>
      <c r="C74" s="3" t="n">
        <v>16770.85</v>
      </c>
      <c r="D74" s="3" t="n">
        <v>1205</v>
      </c>
      <c r="E74" s="3" t="n">
        <v>1172.23</v>
      </c>
      <c r="F74" s="4">
        <f>C74/C73-1</f>
        <v/>
      </c>
      <c r="G74" s="4">
        <f>E74/E73-1</f>
        <v/>
      </c>
    </row>
    <row r="75">
      <c r="A75" s="2" t="n">
        <v>44552</v>
      </c>
      <c r="B75" s="3" t="n">
        <v>16955.45</v>
      </c>
      <c r="C75" s="3" t="n">
        <v>16955.45</v>
      </c>
      <c r="D75" s="3" t="n">
        <v>1217.25</v>
      </c>
      <c r="E75" s="3" t="n">
        <v>1184.15</v>
      </c>
      <c r="F75" s="4">
        <f>C75/C74-1</f>
        <v/>
      </c>
      <c r="G75" s="4">
        <f>E75/E74-1</f>
        <v/>
      </c>
    </row>
    <row r="76">
      <c r="A76" s="2" t="n">
        <v>44553</v>
      </c>
      <c r="B76" s="3" t="n">
        <v>17072.6</v>
      </c>
      <c r="C76" s="3" t="n">
        <v>17072.6</v>
      </c>
      <c r="D76" s="3" t="n">
        <v>1210.7</v>
      </c>
      <c r="E76" s="3" t="n">
        <v>1177.78</v>
      </c>
      <c r="F76" s="4">
        <f>C76/C75-1</f>
        <v/>
      </c>
      <c r="G76" s="4">
        <f>E76/E75-1</f>
        <v/>
      </c>
    </row>
    <row r="77">
      <c r="A77" s="2" t="n">
        <v>44554</v>
      </c>
      <c r="B77" s="3" t="n">
        <v>17003.75</v>
      </c>
      <c r="C77" s="3" t="n">
        <v>17003.75</v>
      </c>
      <c r="D77" s="3" t="n">
        <v>1205.1</v>
      </c>
      <c r="E77" s="3" t="n">
        <v>1172.33</v>
      </c>
      <c r="F77" s="4">
        <f>C77/C76-1</f>
        <v/>
      </c>
      <c r="G77" s="4">
        <f>E77/E76-1</f>
        <v/>
      </c>
    </row>
    <row r="78">
      <c r="A78" s="2" t="n">
        <v>44557</v>
      </c>
      <c r="B78" s="3" t="n">
        <v>17086.25</v>
      </c>
      <c r="C78" s="3" t="n">
        <v>17086.25</v>
      </c>
      <c r="D78" s="3" t="n">
        <v>1199.1</v>
      </c>
      <c r="E78" s="3" t="n">
        <v>1166.49</v>
      </c>
      <c r="F78" s="4">
        <f>C78/C77-1</f>
        <v/>
      </c>
      <c r="G78" s="4">
        <f>E78/E77-1</f>
        <v/>
      </c>
    </row>
    <row r="79">
      <c r="A79" s="2" t="n">
        <v>44558</v>
      </c>
      <c r="B79" s="3" t="n">
        <v>17233.25</v>
      </c>
      <c r="C79" s="3" t="n">
        <v>17233.25</v>
      </c>
      <c r="D79" s="3" t="n">
        <v>1236.4</v>
      </c>
      <c r="E79" s="3" t="n">
        <v>1202.78</v>
      </c>
      <c r="F79" s="4">
        <f>C79/C78-1</f>
        <v/>
      </c>
      <c r="G79" s="4">
        <f>E79/E78-1</f>
        <v/>
      </c>
    </row>
    <row r="80">
      <c r="A80" s="2" t="n">
        <v>44559</v>
      </c>
      <c r="B80" s="3" t="n">
        <v>17213.6</v>
      </c>
      <c r="C80" s="3" t="n">
        <v>17213.6</v>
      </c>
      <c r="D80" s="3" t="n">
        <v>1225.12</v>
      </c>
      <c r="E80" s="3" t="n">
        <v>1191.81</v>
      </c>
      <c r="F80" s="4">
        <f>C80/C79-1</f>
        <v/>
      </c>
      <c r="G80" s="4">
        <f>E80/E79-1</f>
        <v/>
      </c>
    </row>
    <row r="81">
      <c r="A81" s="2" t="n">
        <v>44560</v>
      </c>
      <c r="B81" s="3" t="n">
        <v>17203.95</v>
      </c>
      <c r="C81" s="3" t="n">
        <v>17203.95</v>
      </c>
      <c r="D81" s="3" t="n">
        <v>1216.95</v>
      </c>
      <c r="E81" s="3" t="n">
        <v>1183.86</v>
      </c>
      <c r="F81" s="4">
        <f>C81/C80-1</f>
        <v/>
      </c>
      <c r="G81" s="4">
        <f>E81/E80-1</f>
        <v/>
      </c>
    </row>
    <row r="82">
      <c r="A82" s="2" t="n">
        <v>44561</v>
      </c>
      <c r="B82" s="3" t="n">
        <v>17354.05</v>
      </c>
      <c r="C82" s="3" t="n">
        <v>17354.05</v>
      </c>
      <c r="D82" s="3" t="n">
        <v>1231.4</v>
      </c>
      <c r="E82" s="3" t="n">
        <v>1197.91</v>
      </c>
      <c r="F82" s="4">
        <f>C82/C81-1</f>
        <v/>
      </c>
      <c r="G82" s="4">
        <f>E82/E81-1</f>
        <v/>
      </c>
    </row>
    <row r="83">
      <c r="A83" s="2" t="n">
        <v>44564</v>
      </c>
      <c r="B83" s="3" t="n">
        <v>17625.7</v>
      </c>
      <c r="C83" s="3" t="n">
        <v>17625.7</v>
      </c>
      <c r="D83" s="3" t="n">
        <v>1236.97</v>
      </c>
      <c r="E83" s="3" t="n">
        <v>1203.34</v>
      </c>
      <c r="F83" s="4">
        <f>C83/C82-1</f>
        <v/>
      </c>
      <c r="G83" s="4">
        <f>E83/E82-1</f>
        <v/>
      </c>
    </row>
    <row r="84">
      <c r="A84" s="2" t="n">
        <v>44565</v>
      </c>
      <c r="B84" s="3" t="n">
        <v>17805.25</v>
      </c>
      <c r="C84" s="3" t="n">
        <v>17805.25</v>
      </c>
      <c r="D84" s="3" t="n">
        <v>1299.6</v>
      </c>
      <c r="E84" s="3" t="n">
        <v>1264.26</v>
      </c>
      <c r="F84" s="4">
        <f>C84/C83-1</f>
        <v/>
      </c>
      <c r="G84" s="4">
        <f>E84/E83-1</f>
        <v/>
      </c>
    </row>
    <row r="85">
      <c r="A85" s="2" t="n">
        <v>44566</v>
      </c>
      <c r="B85" s="3" t="n">
        <v>17925.25</v>
      </c>
      <c r="C85" s="3" t="n">
        <v>17925.25</v>
      </c>
      <c r="D85" s="3" t="n">
        <v>1318.97</v>
      </c>
      <c r="E85" s="3" t="n">
        <v>1283.11</v>
      </c>
      <c r="F85" s="4">
        <f>C85/C84-1</f>
        <v/>
      </c>
      <c r="G85" s="4">
        <f>E85/E84-1</f>
        <v/>
      </c>
    </row>
    <row r="86">
      <c r="A86" s="2" t="n">
        <v>44567</v>
      </c>
      <c r="B86" s="3" t="n">
        <v>17745.9</v>
      </c>
      <c r="C86" s="3" t="n">
        <v>17745.9</v>
      </c>
      <c r="D86" s="3" t="n">
        <v>1323</v>
      </c>
      <c r="E86" s="3" t="n">
        <v>1287.02</v>
      </c>
      <c r="F86" s="4">
        <f>C86/C85-1</f>
        <v/>
      </c>
      <c r="G86" s="4">
        <f>E86/E85-1</f>
        <v/>
      </c>
    </row>
    <row r="87">
      <c r="A87" s="2" t="n">
        <v>44568</v>
      </c>
      <c r="B87" s="3" t="n">
        <v>17812.7</v>
      </c>
      <c r="C87" s="3" t="n">
        <v>17812.7</v>
      </c>
      <c r="D87" s="3" t="n">
        <v>1361.72</v>
      </c>
      <c r="E87" s="3" t="n">
        <v>1324.7</v>
      </c>
      <c r="F87" s="4">
        <f>C87/C86-1</f>
        <v/>
      </c>
      <c r="G87" s="4">
        <f>E87/E86-1</f>
        <v/>
      </c>
    </row>
    <row r="88">
      <c r="A88" s="2" t="n">
        <v>44571</v>
      </c>
      <c r="B88" s="3" t="n">
        <v>18003.3</v>
      </c>
      <c r="C88" s="3" t="n">
        <v>18003.3</v>
      </c>
      <c r="D88" s="3" t="n">
        <v>1354.57</v>
      </c>
      <c r="E88" s="3" t="n">
        <v>1317.74</v>
      </c>
      <c r="F88" s="4">
        <f>C88/C87-1</f>
        <v/>
      </c>
      <c r="G88" s="4">
        <f>E88/E87-1</f>
        <v/>
      </c>
    </row>
    <row r="89">
      <c r="A89" s="2" t="n">
        <v>44572</v>
      </c>
      <c r="B89" s="3" t="n">
        <v>18055.75</v>
      </c>
      <c r="C89" s="3" t="n">
        <v>18055.75</v>
      </c>
      <c r="D89" s="3" t="n">
        <v>1354.88</v>
      </c>
      <c r="E89" s="3" t="n">
        <v>1318.03</v>
      </c>
      <c r="F89" s="4">
        <f>C89/C88-1</f>
        <v/>
      </c>
      <c r="G89" s="4">
        <f>E89/E88-1</f>
        <v/>
      </c>
    </row>
    <row r="90">
      <c r="A90" s="2" t="n">
        <v>44573</v>
      </c>
      <c r="B90" s="3" t="n">
        <v>18212.35</v>
      </c>
      <c r="C90" s="3" t="n">
        <v>18212.35</v>
      </c>
      <c r="D90" s="3" t="n">
        <v>1374.43</v>
      </c>
      <c r="E90" s="3" t="n">
        <v>1337.05</v>
      </c>
      <c r="F90" s="4">
        <f>C90/C89-1</f>
        <v/>
      </c>
      <c r="G90" s="4">
        <f>E90/E89-1</f>
        <v/>
      </c>
    </row>
    <row r="91">
      <c r="A91" s="2" t="n">
        <v>44574</v>
      </c>
      <c r="B91" s="3" t="n">
        <v>18257.8</v>
      </c>
      <c r="C91" s="3" t="n">
        <v>18257.8</v>
      </c>
      <c r="D91" s="3" t="n">
        <v>1362.18</v>
      </c>
      <c r="E91" s="3" t="n">
        <v>1325.13</v>
      </c>
      <c r="F91" s="4">
        <f>C91/C90-1</f>
        <v/>
      </c>
      <c r="G91" s="4">
        <f>E91/E90-1</f>
        <v/>
      </c>
    </row>
    <row r="92">
      <c r="A92" s="2" t="n">
        <v>44575</v>
      </c>
      <c r="B92" s="3" t="n">
        <v>18255.75</v>
      </c>
      <c r="C92" s="3" t="n">
        <v>18255.75</v>
      </c>
      <c r="D92" s="3" t="n">
        <v>1350.28</v>
      </c>
      <c r="E92" s="3" t="n">
        <v>1313.56</v>
      </c>
      <c r="F92" s="4">
        <f>C92/C91-1</f>
        <v/>
      </c>
      <c r="G92" s="4">
        <f>E92/E91-1</f>
        <v/>
      </c>
    </row>
    <row r="93">
      <c r="A93" s="2" t="n">
        <v>44578</v>
      </c>
      <c r="B93" s="3" t="n">
        <v>18308.1</v>
      </c>
      <c r="C93" s="3" t="n">
        <v>18308.1</v>
      </c>
      <c r="D93" s="3" t="n">
        <v>1357.28</v>
      </c>
      <c r="E93" s="3" t="n">
        <v>1320.37</v>
      </c>
      <c r="F93" s="4">
        <f>C93/C92-1</f>
        <v/>
      </c>
      <c r="G93" s="4">
        <f>E93/E92-1</f>
        <v/>
      </c>
    </row>
    <row r="94">
      <c r="A94" s="2" t="n">
        <v>44579</v>
      </c>
      <c r="B94" s="3" t="n">
        <v>18113.05</v>
      </c>
      <c r="C94" s="3" t="n">
        <v>18113.05</v>
      </c>
      <c r="D94" s="3" t="n">
        <v>1342.55</v>
      </c>
      <c r="E94" s="3" t="n">
        <v>1306.04</v>
      </c>
      <c r="F94" s="4">
        <f>C94/C93-1</f>
        <v/>
      </c>
      <c r="G94" s="4">
        <f>E94/E93-1</f>
        <v/>
      </c>
    </row>
    <row r="95">
      <c r="A95" s="2" t="n">
        <v>44580</v>
      </c>
      <c r="B95" s="3" t="n">
        <v>17938.4</v>
      </c>
      <c r="C95" s="3" t="n">
        <v>17938.4</v>
      </c>
      <c r="D95" s="3" t="n">
        <v>1336.7</v>
      </c>
      <c r="E95" s="3" t="n">
        <v>1300.35</v>
      </c>
      <c r="F95" s="4">
        <f>C95/C94-1</f>
        <v/>
      </c>
      <c r="G95" s="4">
        <f>E95/E94-1</f>
        <v/>
      </c>
    </row>
    <row r="96">
      <c r="A96" s="2" t="n">
        <v>44581</v>
      </c>
      <c r="B96" s="3" t="n">
        <v>17757</v>
      </c>
      <c r="C96" s="3" t="n">
        <v>17757</v>
      </c>
      <c r="D96" s="3" t="n">
        <v>1337.97</v>
      </c>
      <c r="E96" s="3" t="n">
        <v>1301.59</v>
      </c>
      <c r="F96" s="4">
        <f>C96/C95-1</f>
        <v/>
      </c>
      <c r="G96" s="4">
        <f>E96/E95-1</f>
        <v/>
      </c>
    </row>
    <row r="97">
      <c r="A97" s="2" t="n">
        <v>44582</v>
      </c>
      <c r="B97" s="3" t="n">
        <v>17617.15</v>
      </c>
      <c r="C97" s="3" t="n">
        <v>17617.15</v>
      </c>
      <c r="D97" s="3" t="n">
        <v>1350.3</v>
      </c>
      <c r="E97" s="3" t="n">
        <v>1313.58</v>
      </c>
      <c r="F97" s="4">
        <f>C97/C96-1</f>
        <v/>
      </c>
      <c r="G97" s="4">
        <f>E97/E96-1</f>
        <v/>
      </c>
    </row>
    <row r="98">
      <c r="A98" s="2" t="n">
        <v>44585</v>
      </c>
      <c r="B98" s="3" t="n">
        <v>17149.1</v>
      </c>
      <c r="C98" s="3" t="n">
        <v>17149.1</v>
      </c>
      <c r="D98" s="3" t="n">
        <v>1320.18</v>
      </c>
      <c r="E98" s="3" t="n">
        <v>1284.28</v>
      </c>
      <c r="F98" s="4">
        <f>C98/C97-1</f>
        <v/>
      </c>
      <c r="G98" s="4">
        <f>E98/E97-1</f>
        <v/>
      </c>
    </row>
    <row r="99">
      <c r="A99" s="2" t="n">
        <v>44586</v>
      </c>
      <c r="B99" s="3" t="n">
        <v>17277.95</v>
      </c>
      <c r="C99" s="3" t="n">
        <v>17277.95</v>
      </c>
      <c r="D99" s="3" t="n">
        <v>1294.93</v>
      </c>
      <c r="E99" s="3" t="n">
        <v>1259.71</v>
      </c>
      <c r="F99" s="4">
        <f>C99/C98-1</f>
        <v/>
      </c>
      <c r="G99" s="4">
        <f>E99/E98-1</f>
        <v/>
      </c>
    </row>
    <row r="100">
      <c r="A100" s="2" t="n">
        <v>44588</v>
      </c>
      <c r="B100" s="3" t="n">
        <v>17110.15</v>
      </c>
      <c r="C100" s="3" t="n">
        <v>17110.15</v>
      </c>
      <c r="D100" s="3" t="n">
        <v>1230.45</v>
      </c>
      <c r="E100" s="3" t="n">
        <v>1196.99</v>
      </c>
      <c r="F100" s="4">
        <f>C100/C99-1</f>
        <v/>
      </c>
      <c r="G100" s="4">
        <f>E100/E99-1</f>
        <v/>
      </c>
    </row>
    <row r="101">
      <c r="A101" s="2" t="n">
        <v>44589</v>
      </c>
      <c r="B101" s="3" t="n">
        <v>17101.95</v>
      </c>
      <c r="C101" s="3" t="n">
        <v>17101.95</v>
      </c>
      <c r="D101" s="3" t="n">
        <v>1237.9</v>
      </c>
      <c r="E101" s="3" t="n">
        <v>1204.24</v>
      </c>
      <c r="F101" s="4">
        <f>C101/C100-1</f>
        <v/>
      </c>
      <c r="G101" s="4">
        <f>E101/E100-1</f>
        <v/>
      </c>
    </row>
    <row r="102">
      <c r="A102" s="2" t="n">
        <v>44592</v>
      </c>
      <c r="B102" s="3" t="n">
        <v>17339.85</v>
      </c>
      <c r="C102" s="3" t="n">
        <v>17339.85</v>
      </c>
      <c r="D102" s="3" t="n">
        <v>1228.25</v>
      </c>
      <c r="E102" s="3" t="n">
        <v>1194.85</v>
      </c>
      <c r="F102" s="4">
        <f>C102/C101-1</f>
        <v/>
      </c>
      <c r="G102" s="4">
        <f>E102/E101-1</f>
        <v/>
      </c>
    </row>
    <row r="103">
      <c r="A103" s="2" t="n">
        <v>44593</v>
      </c>
      <c r="B103" s="3" t="n">
        <v>17576.85</v>
      </c>
      <c r="C103" s="3" t="n">
        <v>17576.85</v>
      </c>
      <c r="D103" s="3" t="n">
        <v>1236.43</v>
      </c>
      <c r="E103" s="3" t="n">
        <v>1202.8</v>
      </c>
      <c r="F103" s="4">
        <f>C103/C102-1</f>
        <v/>
      </c>
      <c r="G103" s="4">
        <f>E103/E102-1</f>
        <v/>
      </c>
    </row>
    <row r="104">
      <c r="A104" s="2" t="n">
        <v>44594</v>
      </c>
      <c r="B104" s="3" t="n">
        <v>17780</v>
      </c>
      <c r="C104" s="3" t="n">
        <v>17780</v>
      </c>
      <c r="D104" s="3" t="n">
        <v>1261.45</v>
      </c>
      <c r="E104" s="3" t="n">
        <v>1227.15</v>
      </c>
      <c r="F104" s="4">
        <f>C104/C103-1</f>
        <v/>
      </c>
      <c r="G104" s="4">
        <f>E104/E103-1</f>
        <v/>
      </c>
    </row>
    <row r="105">
      <c r="A105" s="2" t="n">
        <v>44595</v>
      </c>
      <c r="B105" s="3" t="n">
        <v>17560.2</v>
      </c>
      <c r="C105" s="3" t="n">
        <v>17560.2</v>
      </c>
      <c r="D105" s="3" t="n">
        <v>1251.6</v>
      </c>
      <c r="E105" s="3" t="n">
        <v>1217.57</v>
      </c>
      <c r="F105" s="4">
        <f>C105/C104-1</f>
        <v/>
      </c>
      <c r="G105" s="4">
        <f>E105/E104-1</f>
        <v/>
      </c>
    </row>
    <row r="106">
      <c r="A106" s="2" t="n">
        <v>44596</v>
      </c>
      <c r="B106" s="3" t="n">
        <v>17516.3</v>
      </c>
      <c r="C106" s="3" t="n">
        <v>17516.3</v>
      </c>
      <c r="D106" s="3" t="n">
        <v>1240.9</v>
      </c>
      <c r="E106" s="3" t="n">
        <v>1207.16</v>
      </c>
      <c r="F106" s="4">
        <f>C106/C105-1</f>
        <v/>
      </c>
      <c r="G106" s="4">
        <f>E106/E105-1</f>
        <v/>
      </c>
    </row>
    <row r="107">
      <c r="A107" s="2" t="n">
        <v>44599</v>
      </c>
      <c r="B107" s="3" t="n">
        <v>17213.6</v>
      </c>
      <c r="C107" s="3" t="n">
        <v>17213.6</v>
      </c>
      <c r="D107" s="3" t="n">
        <v>1217.75</v>
      </c>
      <c r="E107" s="3" t="n">
        <v>1184.64</v>
      </c>
      <c r="F107" s="4">
        <f>C107/C106-1</f>
        <v/>
      </c>
      <c r="G107" s="4">
        <f>E107/E106-1</f>
        <v/>
      </c>
    </row>
    <row r="108">
      <c r="A108" s="2" t="n">
        <v>44600</v>
      </c>
      <c r="B108" s="3" t="n">
        <v>17266.75</v>
      </c>
      <c r="C108" s="3" t="n">
        <v>17266.75</v>
      </c>
      <c r="D108" s="3" t="n">
        <v>1207.68</v>
      </c>
      <c r="E108" s="3" t="n">
        <v>1174.83</v>
      </c>
      <c r="F108" s="4">
        <f>C108/C107-1</f>
        <v/>
      </c>
      <c r="G108" s="4">
        <f>E108/E107-1</f>
        <v/>
      </c>
    </row>
    <row r="109">
      <c r="A109" s="2" t="n">
        <v>44601</v>
      </c>
      <c r="B109" s="3" t="n">
        <v>17463.8</v>
      </c>
      <c r="C109" s="3" t="n">
        <v>17463.8</v>
      </c>
      <c r="D109" s="3" t="n">
        <v>1240.3</v>
      </c>
      <c r="E109" s="3" t="n">
        <v>1206.57</v>
      </c>
      <c r="F109" s="4">
        <f>C109/C108-1</f>
        <v/>
      </c>
      <c r="G109" s="4">
        <f>E109/E108-1</f>
        <v/>
      </c>
    </row>
    <row r="110">
      <c r="A110" s="2" t="n">
        <v>44602</v>
      </c>
      <c r="B110" s="3" t="n">
        <v>17605.85</v>
      </c>
      <c r="C110" s="3" t="n">
        <v>17605.85</v>
      </c>
      <c r="D110" s="3" t="n">
        <v>1244.53</v>
      </c>
      <c r="E110" s="3" t="n">
        <v>1210.68</v>
      </c>
      <c r="F110" s="4">
        <f>C110/C109-1</f>
        <v/>
      </c>
      <c r="G110" s="4">
        <f>E110/E109-1</f>
        <v/>
      </c>
    </row>
    <row r="111">
      <c r="A111" s="2" t="n">
        <v>44603</v>
      </c>
      <c r="B111" s="3" t="n">
        <v>17374.75</v>
      </c>
      <c r="C111" s="3" t="n">
        <v>17374.75</v>
      </c>
      <c r="D111" s="3" t="n">
        <v>1216.12</v>
      </c>
      <c r="E111" s="3" t="n">
        <v>1183.06</v>
      </c>
      <c r="F111" s="4">
        <f>C111/C110-1</f>
        <v/>
      </c>
      <c r="G111" s="4">
        <f>E111/E110-1</f>
        <v/>
      </c>
    </row>
    <row r="112">
      <c r="A112" s="2" t="n">
        <v>44606</v>
      </c>
      <c r="B112" s="3" t="n">
        <v>16842.8</v>
      </c>
      <c r="C112" s="3" t="n">
        <v>16842.8</v>
      </c>
      <c r="D112" s="3" t="n">
        <v>1194.28</v>
      </c>
      <c r="E112" s="3" t="n">
        <v>1161.8</v>
      </c>
      <c r="F112" s="4">
        <f>C112/C111-1</f>
        <v/>
      </c>
      <c r="G112" s="4">
        <f>E112/E111-1</f>
        <v/>
      </c>
    </row>
    <row r="113">
      <c r="A113" s="2" t="n">
        <v>44607</v>
      </c>
      <c r="B113" s="3" t="n">
        <v>17352.45</v>
      </c>
      <c r="C113" s="3" t="n">
        <v>17352.45</v>
      </c>
      <c r="D113" s="3" t="n">
        <v>1224.05</v>
      </c>
      <c r="E113" s="3" t="n">
        <v>1190.76</v>
      </c>
      <c r="F113" s="4">
        <f>C113/C112-1</f>
        <v/>
      </c>
      <c r="G113" s="4">
        <f>E113/E112-1</f>
        <v/>
      </c>
    </row>
    <row r="114">
      <c r="A114" s="2" t="n">
        <v>44608</v>
      </c>
      <c r="B114" s="3" t="n">
        <v>17322.2</v>
      </c>
      <c r="C114" s="3" t="n">
        <v>17322.2</v>
      </c>
      <c r="D114" s="3" t="n">
        <v>1211.35</v>
      </c>
      <c r="E114" s="3" t="n">
        <v>1178.41</v>
      </c>
      <c r="F114" s="4">
        <f>C114/C113-1</f>
        <v/>
      </c>
      <c r="G114" s="4">
        <f>E114/E113-1</f>
        <v/>
      </c>
    </row>
    <row r="115">
      <c r="A115" s="2" t="n">
        <v>44609</v>
      </c>
      <c r="B115" s="3" t="n">
        <v>17304.6</v>
      </c>
      <c r="C115" s="3" t="n">
        <v>17304.6</v>
      </c>
      <c r="D115" s="3" t="n">
        <v>1223.4</v>
      </c>
      <c r="E115" s="3" t="n">
        <v>1190.13</v>
      </c>
      <c r="F115" s="4">
        <f>C115/C114-1</f>
        <v/>
      </c>
      <c r="G115" s="4">
        <f>E115/E114-1</f>
        <v/>
      </c>
    </row>
    <row r="116">
      <c r="A116" s="2" t="n">
        <v>44610</v>
      </c>
      <c r="B116" s="3" t="n">
        <v>17276.3</v>
      </c>
      <c r="C116" s="3" t="n">
        <v>17276.3</v>
      </c>
      <c r="D116" s="3" t="n">
        <v>1215.35</v>
      </c>
      <c r="E116" s="3" t="n">
        <v>1182.3</v>
      </c>
      <c r="F116" s="4">
        <f>C116/C115-1</f>
        <v/>
      </c>
      <c r="G116" s="4">
        <f>E116/E115-1</f>
        <v/>
      </c>
    </row>
    <row r="117">
      <c r="A117" s="2" t="n">
        <v>44613</v>
      </c>
      <c r="B117" s="3" t="n">
        <v>17206.65</v>
      </c>
      <c r="C117" s="3" t="n">
        <v>17206.65</v>
      </c>
      <c r="D117" s="3" t="n">
        <v>1213.15</v>
      </c>
      <c r="E117" s="3" t="n">
        <v>1180.16</v>
      </c>
      <c r="F117" s="4">
        <f>C117/C116-1</f>
        <v/>
      </c>
      <c r="G117" s="4">
        <f>E117/E116-1</f>
        <v/>
      </c>
    </row>
    <row r="118">
      <c r="A118" s="2" t="n">
        <v>44614</v>
      </c>
      <c r="B118" s="3" t="n">
        <v>17092.2</v>
      </c>
      <c r="C118" s="3" t="n">
        <v>17092.2</v>
      </c>
      <c r="D118" s="3" t="n">
        <v>1191.35</v>
      </c>
      <c r="E118" s="3" t="n">
        <v>1158.95</v>
      </c>
      <c r="F118" s="4">
        <f>C118/C117-1</f>
        <v/>
      </c>
      <c r="G118" s="4">
        <f>E118/E117-1</f>
        <v/>
      </c>
    </row>
    <row r="119">
      <c r="A119" s="2" t="n">
        <v>44615</v>
      </c>
      <c r="B119" s="3" t="n">
        <v>17063.25</v>
      </c>
      <c r="C119" s="3" t="n">
        <v>17063.25</v>
      </c>
      <c r="D119" s="3" t="n">
        <v>1207.8</v>
      </c>
      <c r="E119" s="3" t="n">
        <v>1174.96</v>
      </c>
      <c r="F119" s="4">
        <f>C119/C118-1</f>
        <v/>
      </c>
      <c r="G119" s="4">
        <f>E119/E118-1</f>
        <v/>
      </c>
    </row>
    <row r="120">
      <c r="A120" s="2" t="n">
        <v>44616</v>
      </c>
      <c r="B120" s="3" t="n">
        <v>16247.95</v>
      </c>
      <c r="C120" s="3" t="n">
        <v>16247.95</v>
      </c>
      <c r="D120" s="3" t="n">
        <v>1155.38</v>
      </c>
      <c r="E120" s="3" t="n">
        <v>1123.96</v>
      </c>
      <c r="F120" s="4">
        <f>C120/C119-1</f>
        <v/>
      </c>
      <c r="G120" s="4">
        <f>E120/E119-1</f>
        <v/>
      </c>
    </row>
    <row r="121">
      <c r="A121" s="2" t="n">
        <v>44617</v>
      </c>
      <c r="B121" s="3" t="n">
        <v>16658.4</v>
      </c>
      <c r="C121" s="3" t="n">
        <v>16658.4</v>
      </c>
      <c r="D121" s="3" t="n">
        <v>1184.53</v>
      </c>
      <c r="E121" s="3" t="n">
        <v>1152.31</v>
      </c>
      <c r="F121" s="4">
        <f>C121/C120-1</f>
        <v/>
      </c>
      <c r="G121" s="4">
        <f>E121/E120-1</f>
        <v/>
      </c>
    </row>
    <row r="122">
      <c r="A122" s="2" t="n">
        <v>44620</v>
      </c>
      <c r="B122" s="3" t="n">
        <v>16793.9</v>
      </c>
      <c r="C122" s="3" t="n">
        <v>16793.9</v>
      </c>
      <c r="D122" s="3" t="n">
        <v>1201.47</v>
      </c>
      <c r="E122" s="3" t="n">
        <v>1168.8</v>
      </c>
      <c r="F122" s="4">
        <f>C122/C121-1</f>
        <v/>
      </c>
      <c r="G122" s="4">
        <f>E122/E121-1</f>
        <v/>
      </c>
    </row>
    <row r="123">
      <c r="A123" s="2" t="n">
        <v>44622</v>
      </c>
      <c r="B123" s="3" t="n">
        <v>16605.95</v>
      </c>
      <c r="C123" s="3" t="n">
        <v>16605.95</v>
      </c>
      <c r="D123" s="3" t="n">
        <v>1198.9</v>
      </c>
      <c r="E123" s="3" t="n">
        <v>1166.3</v>
      </c>
      <c r="F123" s="4">
        <f>C123/C122-1</f>
        <v/>
      </c>
      <c r="G123" s="4">
        <f>E123/E122-1</f>
        <v/>
      </c>
    </row>
    <row r="124">
      <c r="A124" s="2" t="n">
        <v>44623</v>
      </c>
      <c r="B124" s="3" t="n">
        <v>16498.05</v>
      </c>
      <c r="C124" s="3" t="n">
        <v>16498.05</v>
      </c>
      <c r="D124" s="3" t="n">
        <v>1169.32</v>
      </c>
      <c r="E124" s="3" t="n">
        <v>1137.53</v>
      </c>
      <c r="F124" s="4">
        <f>C124/C123-1</f>
        <v/>
      </c>
      <c r="G124" s="4">
        <f>E124/E123-1</f>
        <v/>
      </c>
    </row>
    <row r="125">
      <c r="A125" s="2" t="n">
        <v>44624</v>
      </c>
      <c r="B125" s="3" t="n">
        <v>16245.35</v>
      </c>
      <c r="C125" s="3" t="n">
        <v>16245.35</v>
      </c>
      <c r="D125" s="3" t="n">
        <v>1130.47</v>
      </c>
      <c r="E125" s="3" t="n">
        <v>1099.73</v>
      </c>
      <c r="F125" s="4">
        <f>C125/C124-1</f>
        <v/>
      </c>
      <c r="G125" s="4">
        <f>E125/E124-1</f>
        <v/>
      </c>
    </row>
    <row r="126">
      <c r="A126" s="2" t="n">
        <v>44627</v>
      </c>
      <c r="B126" s="3" t="n">
        <v>15863.15</v>
      </c>
      <c r="C126" s="3" t="n">
        <v>15863.15</v>
      </c>
      <c r="D126" s="3" t="n">
        <v>1082.32</v>
      </c>
      <c r="E126" s="3" t="n">
        <v>1052.89</v>
      </c>
      <c r="F126" s="4">
        <f>C126/C125-1</f>
        <v/>
      </c>
      <c r="G126" s="4">
        <f>E126/E125-1</f>
        <v/>
      </c>
    </row>
    <row r="127">
      <c r="A127" s="2" t="n">
        <v>44628</v>
      </c>
      <c r="B127" s="3" t="n">
        <v>16013.45</v>
      </c>
      <c r="C127" s="3" t="n">
        <v>16013.45</v>
      </c>
      <c r="D127" s="3" t="n">
        <v>1090.43</v>
      </c>
      <c r="E127" s="3" t="n">
        <v>1060.77</v>
      </c>
      <c r="F127" s="4">
        <f>C127/C126-1</f>
        <v/>
      </c>
      <c r="G127" s="4">
        <f>E127/E126-1</f>
        <v/>
      </c>
    </row>
    <row r="128">
      <c r="A128" s="2" t="n">
        <v>44629</v>
      </c>
      <c r="B128" s="3" t="n">
        <v>16345.35</v>
      </c>
      <c r="C128" s="3" t="n">
        <v>16345.35</v>
      </c>
      <c r="D128" s="3" t="n">
        <v>1118.8</v>
      </c>
      <c r="E128" s="3" t="n">
        <v>1088.38</v>
      </c>
      <c r="F128" s="4">
        <f>C128/C127-1</f>
        <v/>
      </c>
      <c r="G128" s="4">
        <f>E128/E127-1</f>
        <v/>
      </c>
    </row>
    <row r="129">
      <c r="A129" s="2" t="n">
        <v>44630</v>
      </c>
      <c r="B129" s="3" t="n">
        <v>16594.9</v>
      </c>
      <c r="C129" s="3" t="n">
        <v>16594.9</v>
      </c>
      <c r="D129" s="3" t="n">
        <v>1174.95</v>
      </c>
      <c r="E129" s="3" t="n">
        <v>1143</v>
      </c>
      <c r="F129" s="4">
        <f>C129/C128-1</f>
        <v/>
      </c>
      <c r="G129" s="4">
        <f>E129/E128-1</f>
        <v/>
      </c>
    </row>
    <row r="130">
      <c r="A130" s="2" t="n">
        <v>44631</v>
      </c>
      <c r="B130" s="3" t="n">
        <v>16630.45</v>
      </c>
      <c r="C130" s="3" t="n">
        <v>16630.45</v>
      </c>
      <c r="D130" s="3" t="n">
        <v>1169.07</v>
      </c>
      <c r="E130" s="3" t="n">
        <v>1137.28</v>
      </c>
      <c r="F130" s="4">
        <f>C130/C129-1</f>
        <v/>
      </c>
      <c r="G130" s="4">
        <f>E130/E129-1</f>
        <v/>
      </c>
    </row>
    <row r="131">
      <c r="A131" s="2" t="n">
        <v>44634</v>
      </c>
      <c r="B131" s="3" t="n">
        <v>16871.3</v>
      </c>
      <c r="C131" s="3" t="n">
        <v>16871.3</v>
      </c>
      <c r="D131" s="3" t="n">
        <v>1172.35</v>
      </c>
      <c r="E131" s="3" t="n">
        <v>1140.47</v>
      </c>
      <c r="F131" s="4">
        <f>C131/C130-1</f>
        <v/>
      </c>
      <c r="G131" s="4">
        <f>E131/E130-1</f>
        <v/>
      </c>
    </row>
    <row r="132">
      <c r="A132" s="2" t="n">
        <v>44635</v>
      </c>
      <c r="B132" s="3" t="n">
        <v>16663</v>
      </c>
      <c r="C132" s="3" t="n">
        <v>16663</v>
      </c>
      <c r="D132" s="3" t="n">
        <v>1185.28</v>
      </c>
      <c r="E132" s="3" t="n">
        <v>1153.04</v>
      </c>
      <c r="F132" s="4">
        <f>C132/C131-1</f>
        <v/>
      </c>
      <c r="G132" s="4">
        <f>E132/E131-1</f>
        <v/>
      </c>
    </row>
    <row r="133">
      <c r="A133" s="2" t="n">
        <v>44636</v>
      </c>
      <c r="B133" s="3" t="n">
        <v>16975.35</v>
      </c>
      <c r="C133" s="3" t="n">
        <v>16975.35</v>
      </c>
      <c r="D133" s="3" t="n">
        <v>1231.45</v>
      </c>
      <c r="E133" s="3" t="n">
        <v>1197.96</v>
      </c>
      <c r="F133" s="4">
        <f>C133/C132-1</f>
        <v/>
      </c>
      <c r="G133" s="4">
        <f>E133/E132-1</f>
        <v/>
      </c>
    </row>
    <row r="134">
      <c r="A134" s="2" t="n">
        <v>44637</v>
      </c>
      <c r="B134" s="3" t="n">
        <v>17287.05</v>
      </c>
      <c r="C134" s="3" t="n">
        <v>17287.05</v>
      </c>
      <c r="D134" s="3" t="n">
        <v>1255.2</v>
      </c>
      <c r="E134" s="3" t="n">
        <v>1221.07</v>
      </c>
      <c r="F134" s="4">
        <f>C134/C133-1</f>
        <v/>
      </c>
      <c r="G134" s="4">
        <f>E134/E133-1</f>
        <v/>
      </c>
    </row>
    <row r="135">
      <c r="A135" s="2" t="n">
        <v>44641</v>
      </c>
      <c r="B135" s="3" t="n">
        <v>17117.6</v>
      </c>
      <c r="C135" s="3" t="n">
        <v>17117.6</v>
      </c>
      <c r="D135" s="3" t="n">
        <v>1242.62</v>
      </c>
      <c r="E135" s="3" t="n">
        <v>1208.83</v>
      </c>
      <c r="F135" s="4">
        <f>C135/C134-1</f>
        <v/>
      </c>
      <c r="G135" s="4">
        <f>E135/E134-1</f>
        <v/>
      </c>
    </row>
    <row r="136">
      <c r="A136" s="2" t="n">
        <v>44642</v>
      </c>
      <c r="B136" s="3" t="n">
        <v>17315.5</v>
      </c>
      <c r="C136" s="3" t="n">
        <v>17315.5</v>
      </c>
      <c r="D136" s="3" t="n">
        <v>1225.18</v>
      </c>
      <c r="E136" s="3" t="n">
        <v>1191.86</v>
      </c>
      <c r="F136" s="4">
        <f>C136/C135-1</f>
        <v/>
      </c>
      <c r="G136" s="4">
        <f>E136/E135-1</f>
        <v/>
      </c>
    </row>
    <row r="137">
      <c r="A137" s="2" t="n">
        <v>44643</v>
      </c>
      <c r="B137" s="3" t="n">
        <v>17245.65</v>
      </c>
      <c r="C137" s="3" t="n">
        <v>17245.65</v>
      </c>
      <c r="D137" s="3" t="n">
        <v>1216.95</v>
      </c>
      <c r="E137" s="3" t="n">
        <v>1183.86</v>
      </c>
      <c r="F137" s="4">
        <f>C137/C136-1</f>
        <v/>
      </c>
      <c r="G137" s="4">
        <f>E137/E136-1</f>
        <v/>
      </c>
    </row>
    <row r="138">
      <c r="A138" s="2" t="n">
        <v>44644</v>
      </c>
      <c r="B138" s="3" t="n">
        <v>17222.75</v>
      </c>
      <c r="C138" s="3" t="n">
        <v>17222.75</v>
      </c>
      <c r="D138" s="3" t="n">
        <v>1211.82</v>
      </c>
      <c r="E138" s="3" t="n">
        <v>1178.87</v>
      </c>
      <c r="F138" s="4">
        <f>C138/C137-1</f>
        <v/>
      </c>
      <c r="G138" s="4">
        <f>E138/E137-1</f>
        <v/>
      </c>
    </row>
    <row r="139">
      <c r="A139" s="2" t="n">
        <v>44645</v>
      </c>
      <c r="B139" s="3" t="n">
        <v>17153</v>
      </c>
      <c r="C139" s="3" t="n">
        <v>17153</v>
      </c>
      <c r="D139" s="3" t="n">
        <v>1228.22</v>
      </c>
      <c r="E139" s="3" t="n">
        <v>1194.83</v>
      </c>
      <c r="F139" s="4">
        <f>C139/C138-1</f>
        <v/>
      </c>
      <c r="G139" s="4">
        <f>E139/E138-1</f>
        <v/>
      </c>
    </row>
    <row r="140">
      <c r="A140" s="2" t="n">
        <v>44648</v>
      </c>
      <c r="B140" s="3" t="n">
        <v>17222</v>
      </c>
      <c r="C140" s="3" t="n">
        <v>17222</v>
      </c>
      <c r="D140" s="3" t="n">
        <v>1199.88</v>
      </c>
      <c r="E140" s="3" t="n">
        <v>1167.25</v>
      </c>
      <c r="F140" s="4">
        <f>C140/C139-1</f>
        <v/>
      </c>
      <c r="G140" s="4">
        <f>E140/E139-1</f>
        <v/>
      </c>
    </row>
    <row r="141">
      <c r="A141" s="2" t="n">
        <v>44649</v>
      </c>
      <c r="B141" s="3" t="n">
        <v>17325.3</v>
      </c>
      <c r="C141" s="3" t="n">
        <v>17325.3</v>
      </c>
      <c r="D141" s="3" t="n">
        <v>1198.97</v>
      </c>
      <c r="E141" s="3" t="n">
        <v>1166.37</v>
      </c>
      <c r="F141" s="4">
        <f>C141/C140-1</f>
        <v/>
      </c>
      <c r="G141" s="4">
        <f>E141/E140-1</f>
        <v/>
      </c>
    </row>
    <row r="142">
      <c r="A142" s="2" t="n">
        <v>44650</v>
      </c>
      <c r="B142" s="3" t="n">
        <v>17498.25</v>
      </c>
      <c r="C142" s="3" t="n">
        <v>17498.25</v>
      </c>
      <c r="D142" s="3" t="n">
        <v>1220.15</v>
      </c>
      <c r="E142" s="3" t="n">
        <v>1186.97</v>
      </c>
      <c r="F142" s="4">
        <f>C142/C141-1</f>
        <v/>
      </c>
      <c r="G142" s="4">
        <f>E142/E141-1</f>
        <v/>
      </c>
    </row>
    <row r="143">
      <c r="A143" s="2" t="n">
        <v>44651</v>
      </c>
      <c r="B143" s="3" t="n">
        <v>17464.75</v>
      </c>
      <c r="C143" s="3" t="n">
        <v>17464.75</v>
      </c>
      <c r="D143" s="3" t="n">
        <v>1227.15</v>
      </c>
      <c r="E143" s="3" t="n">
        <v>1193.78</v>
      </c>
      <c r="F143" s="4">
        <f>C143/C142-1</f>
        <v/>
      </c>
      <c r="G143" s="4">
        <f>E143/E142-1</f>
        <v/>
      </c>
    </row>
    <row r="144">
      <c r="A144" s="2" t="n">
        <v>44652</v>
      </c>
      <c r="B144" s="3" t="n">
        <v>17670.45</v>
      </c>
      <c r="C144" s="3" t="n">
        <v>17670.45</v>
      </c>
      <c r="D144" s="3" t="n">
        <v>1242.95</v>
      </c>
      <c r="E144" s="3" t="n">
        <v>1209.15</v>
      </c>
      <c r="F144" s="4">
        <f>C144/C143-1</f>
        <v/>
      </c>
      <c r="G144" s="4">
        <f>E144/E143-1</f>
        <v/>
      </c>
    </row>
    <row r="145">
      <c r="A145" s="2" t="n">
        <v>44655</v>
      </c>
      <c r="B145" s="3" t="n">
        <v>18053.4</v>
      </c>
      <c r="C145" s="3" t="n">
        <v>18053.4</v>
      </c>
      <c r="D145" s="3" t="n">
        <v>1247.53</v>
      </c>
      <c r="E145" s="3" t="n">
        <v>1213.6</v>
      </c>
      <c r="F145" s="4">
        <f>C145/C144-1</f>
        <v/>
      </c>
      <c r="G145" s="4">
        <f>E145/E144-1</f>
        <v/>
      </c>
    </row>
    <row r="146">
      <c r="A146" s="2" t="n">
        <v>44656</v>
      </c>
      <c r="B146" s="3" t="n">
        <v>17957.4</v>
      </c>
      <c r="C146" s="3" t="n">
        <v>17957.4</v>
      </c>
      <c r="D146" s="3" t="n">
        <v>1253.82</v>
      </c>
      <c r="E146" s="3" t="n">
        <v>1219.73</v>
      </c>
      <c r="F146" s="4">
        <f>C146/C145-1</f>
        <v/>
      </c>
      <c r="G146" s="4">
        <f>E146/E145-1</f>
        <v/>
      </c>
    </row>
    <row r="147">
      <c r="A147" s="2" t="n">
        <v>44657</v>
      </c>
      <c r="B147" s="3" t="n">
        <v>17807.65</v>
      </c>
      <c r="C147" s="3" t="n">
        <v>17807.65</v>
      </c>
      <c r="D147" s="3" t="n">
        <v>1264.78</v>
      </c>
      <c r="E147" s="3" t="n">
        <v>1230.38</v>
      </c>
      <c r="F147" s="4">
        <f>C147/C146-1</f>
        <v/>
      </c>
      <c r="G147" s="4">
        <f>E147/E146-1</f>
        <v/>
      </c>
    </row>
    <row r="148">
      <c r="A148" s="2" t="n">
        <v>44658</v>
      </c>
      <c r="B148" s="3" t="n">
        <v>17639.55</v>
      </c>
      <c r="C148" s="3" t="n">
        <v>17639.55</v>
      </c>
      <c r="D148" s="3" t="n">
        <v>1246.55</v>
      </c>
      <c r="E148" s="3" t="n">
        <v>1212.65</v>
      </c>
      <c r="F148" s="4">
        <f>C148/C147-1</f>
        <v/>
      </c>
      <c r="G148" s="4">
        <f>E148/E147-1</f>
        <v/>
      </c>
    </row>
    <row r="149">
      <c r="A149" s="2" t="n">
        <v>44659</v>
      </c>
      <c r="B149" s="3" t="n">
        <v>17784.35</v>
      </c>
      <c r="C149" s="3" t="n">
        <v>17784.35</v>
      </c>
      <c r="D149" s="3" t="n">
        <v>1262.57</v>
      </c>
      <c r="E149" s="3" t="n">
        <v>1228.24</v>
      </c>
      <c r="F149" s="4">
        <f>C149/C148-1</f>
        <v/>
      </c>
      <c r="G149" s="4">
        <f>E149/E148-1</f>
        <v/>
      </c>
    </row>
    <row r="150">
      <c r="A150" s="2" t="n">
        <v>44662</v>
      </c>
      <c r="B150" s="3" t="n">
        <v>17674.95</v>
      </c>
      <c r="C150" s="3" t="n">
        <v>17674.95</v>
      </c>
      <c r="D150" s="3" t="n">
        <v>1224.57</v>
      </c>
      <c r="E150" s="3" t="n">
        <v>1191.28</v>
      </c>
      <c r="F150" s="4">
        <f>C150/C149-1</f>
        <v/>
      </c>
      <c r="G150" s="4">
        <f>E150/E149-1</f>
        <v/>
      </c>
    </row>
    <row r="151">
      <c r="A151" s="2" t="n">
        <v>44663</v>
      </c>
      <c r="B151" s="3" t="n">
        <v>17530.3</v>
      </c>
      <c r="C151" s="3" t="n">
        <v>17530.3</v>
      </c>
      <c r="D151" s="3" t="n">
        <v>1187.85</v>
      </c>
      <c r="E151" s="3" t="n">
        <v>1155.55</v>
      </c>
      <c r="F151" s="4">
        <f>C151/C150-1</f>
        <v/>
      </c>
      <c r="G151" s="4">
        <f>E151/E150-1</f>
        <v/>
      </c>
    </row>
    <row r="152">
      <c r="A152" s="2" t="n">
        <v>44664</v>
      </c>
      <c r="B152" s="3" t="n">
        <v>17475.65</v>
      </c>
      <c r="C152" s="3" t="n">
        <v>17475.65</v>
      </c>
      <c r="D152" s="3" t="n">
        <v>1183.03</v>
      </c>
      <c r="E152" s="3" t="n">
        <v>1150.86</v>
      </c>
      <c r="F152" s="4">
        <f>C152/C151-1</f>
        <v/>
      </c>
      <c r="G152" s="4">
        <f>E152/E151-1</f>
        <v/>
      </c>
    </row>
    <row r="153">
      <c r="A153" s="2" t="n">
        <v>44669</v>
      </c>
      <c r="B153" s="3" t="n">
        <v>17173.65</v>
      </c>
      <c r="C153" s="3" t="n">
        <v>17173.65</v>
      </c>
      <c r="D153" s="3" t="n">
        <v>1182.18</v>
      </c>
      <c r="E153" s="3" t="n">
        <v>1150.03</v>
      </c>
      <c r="F153" s="4">
        <f>C153/C152-1</f>
        <v/>
      </c>
      <c r="G153" s="4">
        <f>E153/E152-1</f>
        <v/>
      </c>
    </row>
    <row r="154">
      <c r="A154" s="2" t="n">
        <v>44670</v>
      </c>
      <c r="B154" s="3" t="n">
        <v>16958.65</v>
      </c>
      <c r="C154" s="3" t="n">
        <v>16958.65</v>
      </c>
      <c r="D154" s="3" t="n">
        <v>1164.28</v>
      </c>
      <c r="E154" s="3" t="n">
        <v>1132.62</v>
      </c>
      <c r="F154" s="4">
        <f>C154/C153-1</f>
        <v/>
      </c>
      <c r="G154" s="4">
        <f>E154/E153-1</f>
        <v/>
      </c>
    </row>
    <row r="155">
      <c r="A155" s="2" t="n">
        <v>44671</v>
      </c>
      <c r="B155" s="3" t="n">
        <v>17136.55</v>
      </c>
      <c r="C155" s="3" t="n">
        <v>17136.55</v>
      </c>
      <c r="D155" s="3" t="n">
        <v>1184.45</v>
      </c>
      <c r="E155" s="3" t="n">
        <v>1152.24</v>
      </c>
      <c r="F155" s="4">
        <f>C155/C154-1</f>
        <v/>
      </c>
      <c r="G155" s="4">
        <f>E155/E154-1</f>
        <v/>
      </c>
    </row>
    <row r="156">
      <c r="A156" s="2" t="n">
        <v>44672</v>
      </c>
      <c r="B156" s="3" t="n">
        <v>17392.6</v>
      </c>
      <c r="C156" s="3" t="n">
        <v>17392.6</v>
      </c>
      <c r="D156" s="3" t="n">
        <v>1203.18</v>
      </c>
      <c r="E156" s="3" t="n">
        <v>1170.46</v>
      </c>
      <c r="F156" s="4">
        <f>C156/C155-1</f>
        <v/>
      </c>
      <c r="G156" s="4">
        <f>E156/E155-1</f>
        <v/>
      </c>
    </row>
    <row r="157">
      <c r="A157" s="2" t="n">
        <v>44673</v>
      </c>
      <c r="B157" s="3" t="n">
        <v>17171.95</v>
      </c>
      <c r="C157" s="3" t="n">
        <v>17171.95</v>
      </c>
      <c r="D157" s="3" t="n">
        <v>1213.2</v>
      </c>
      <c r="E157" s="3" t="n">
        <v>1180.21</v>
      </c>
      <c r="F157" s="4">
        <f>C157/C156-1</f>
        <v/>
      </c>
      <c r="G157" s="4">
        <f>E157/E156-1</f>
        <v/>
      </c>
    </row>
    <row r="158">
      <c r="A158" s="2" t="n">
        <v>44676</v>
      </c>
      <c r="B158" s="3" t="n">
        <v>16953.95</v>
      </c>
      <c r="C158" s="3" t="n">
        <v>16953.95</v>
      </c>
      <c r="D158" s="3" t="n">
        <v>1204.18</v>
      </c>
      <c r="E158" s="3" t="n">
        <v>1171.43</v>
      </c>
      <c r="F158" s="4">
        <f>C158/C157-1</f>
        <v/>
      </c>
      <c r="G158" s="4">
        <f>E158/E157-1</f>
        <v/>
      </c>
    </row>
    <row r="159">
      <c r="A159" s="2" t="n">
        <v>44677</v>
      </c>
      <c r="B159" s="3" t="n">
        <v>17200.8</v>
      </c>
      <c r="C159" s="3" t="n">
        <v>17200.8</v>
      </c>
      <c r="D159" s="3" t="n">
        <v>1218.4</v>
      </c>
      <c r="E159" s="3" t="n">
        <v>1185.27</v>
      </c>
      <c r="F159" s="4">
        <f>C159/C158-1</f>
        <v/>
      </c>
      <c r="G159" s="4">
        <f>E159/E158-1</f>
        <v/>
      </c>
    </row>
    <row r="160">
      <c r="A160" s="2" t="n">
        <v>44678</v>
      </c>
      <c r="B160" s="3" t="n">
        <v>17038.4</v>
      </c>
      <c r="C160" s="3" t="n">
        <v>17038.4</v>
      </c>
      <c r="D160" s="3" t="n">
        <v>1205.65</v>
      </c>
      <c r="E160" s="3" t="n">
        <v>1172.86</v>
      </c>
      <c r="F160" s="4">
        <f>C160/C159-1</f>
        <v/>
      </c>
      <c r="G160" s="4">
        <f>E160/E159-1</f>
        <v/>
      </c>
    </row>
    <row r="161">
      <c r="A161" s="2" t="n">
        <v>44679</v>
      </c>
      <c r="B161" s="3" t="n">
        <v>17245.05</v>
      </c>
      <c r="C161" s="3" t="n">
        <v>17245.05</v>
      </c>
      <c r="D161" s="3" t="n">
        <v>1228.97</v>
      </c>
      <c r="E161" s="3" t="n">
        <v>1195.56</v>
      </c>
      <c r="F161" s="4">
        <f>C161/C160-1</f>
        <v/>
      </c>
      <c r="G161" s="4">
        <f>E161/E160-1</f>
        <v/>
      </c>
    </row>
    <row r="162">
      <c r="A162" s="2" t="n">
        <v>44680</v>
      </c>
      <c r="B162" s="3" t="n">
        <v>17102.55</v>
      </c>
      <c r="C162" s="3" t="n">
        <v>17102.55</v>
      </c>
      <c r="D162" s="3" t="n">
        <v>1211.85</v>
      </c>
      <c r="E162" s="3" t="n">
        <v>1178.9</v>
      </c>
      <c r="F162" s="4">
        <f>C162/C161-1</f>
        <v/>
      </c>
      <c r="G162" s="4">
        <f>E162/E161-1</f>
        <v/>
      </c>
    </row>
    <row r="163">
      <c r="A163" s="2" t="n">
        <v>44683</v>
      </c>
      <c r="B163" s="3" t="n">
        <v>17069.1</v>
      </c>
      <c r="C163" s="3" t="n">
        <v>17069.1</v>
      </c>
      <c r="D163" s="3" t="n">
        <v>1212.05</v>
      </c>
      <c r="E163" s="3" t="n">
        <v>1179.09</v>
      </c>
      <c r="F163" s="4">
        <f>C163/C162-1</f>
        <v/>
      </c>
      <c r="G163" s="4">
        <f>E163/E162-1</f>
        <v/>
      </c>
    </row>
    <row r="164">
      <c r="A164" s="2" t="n">
        <v>44685</v>
      </c>
      <c r="B164" s="3" t="n">
        <v>16677.6</v>
      </c>
      <c r="C164" s="3" t="n">
        <v>16677.6</v>
      </c>
      <c r="D164" s="3" t="n">
        <v>1162.03</v>
      </c>
      <c r="E164" s="3" t="n">
        <v>1130.43</v>
      </c>
      <c r="F164" s="4">
        <f>C164/C163-1</f>
        <v/>
      </c>
      <c r="G164" s="4">
        <f>E164/E163-1</f>
        <v/>
      </c>
    </row>
    <row r="165">
      <c r="A165" s="2" t="n">
        <v>44686</v>
      </c>
      <c r="B165" s="3" t="n">
        <v>16682.65</v>
      </c>
      <c r="C165" s="3" t="n">
        <v>16682.65</v>
      </c>
      <c r="D165" s="3" t="n">
        <v>1150.88</v>
      </c>
      <c r="E165" s="3" t="n">
        <v>1119.58</v>
      </c>
      <c r="F165" s="4">
        <f>C165/C164-1</f>
        <v/>
      </c>
      <c r="G165" s="4">
        <f>E165/E164-1</f>
        <v/>
      </c>
    </row>
    <row r="166">
      <c r="A166" s="2" t="n">
        <v>44687</v>
      </c>
      <c r="B166" s="3" t="n">
        <v>16411.25</v>
      </c>
      <c r="C166" s="3" t="n">
        <v>16411.25</v>
      </c>
      <c r="D166" s="3" t="n">
        <v>1118.25</v>
      </c>
      <c r="E166" s="3" t="n">
        <v>1087.84</v>
      </c>
      <c r="F166" s="4">
        <f>C166/C165-1</f>
        <v/>
      </c>
      <c r="G166" s="4">
        <f>E166/E165-1</f>
        <v/>
      </c>
    </row>
    <row r="167">
      <c r="A167" s="2" t="n">
        <v>44690</v>
      </c>
      <c r="B167" s="3" t="n">
        <v>16301.85</v>
      </c>
      <c r="C167" s="3" t="n">
        <v>16301.85</v>
      </c>
      <c r="D167" s="3" t="n">
        <v>1099.72</v>
      </c>
      <c r="E167" s="3" t="n">
        <v>1069.82</v>
      </c>
      <c r="F167" s="4">
        <f>C167/C166-1</f>
        <v/>
      </c>
      <c r="G167" s="4">
        <f>E167/E166-1</f>
        <v/>
      </c>
    </row>
    <row r="168">
      <c r="A168" s="2" t="n">
        <v>44691</v>
      </c>
      <c r="B168" s="3" t="n">
        <v>16240.05</v>
      </c>
      <c r="C168" s="3" t="n">
        <v>16240.05</v>
      </c>
      <c r="D168" s="3" t="n">
        <v>1101.62</v>
      </c>
      <c r="E168" s="3" t="n">
        <v>1071.67</v>
      </c>
      <c r="F168" s="4">
        <f>C168/C167-1</f>
        <v/>
      </c>
      <c r="G168" s="4">
        <f>E168/E167-1</f>
        <v/>
      </c>
    </row>
    <row r="169">
      <c r="A169" s="2" t="n">
        <v>44692</v>
      </c>
      <c r="B169" s="3" t="n">
        <v>16167.1</v>
      </c>
      <c r="C169" s="3" t="n">
        <v>16167.1</v>
      </c>
      <c r="D169" s="3" t="n">
        <v>1082.07</v>
      </c>
      <c r="E169" s="3" t="n">
        <v>1052.65</v>
      </c>
      <c r="F169" s="4">
        <f>C169/C168-1</f>
        <v/>
      </c>
      <c r="G169" s="4">
        <f>E169/E168-1</f>
        <v/>
      </c>
    </row>
    <row r="170">
      <c r="A170" s="2" t="n">
        <v>44693</v>
      </c>
      <c r="B170" s="3" t="n">
        <v>15808</v>
      </c>
      <c r="C170" s="3" t="n">
        <v>15808</v>
      </c>
      <c r="D170" s="3" t="n">
        <v>1057.5</v>
      </c>
      <c r="E170" s="3" t="n">
        <v>1028.74</v>
      </c>
      <c r="F170" s="4">
        <f>C170/C169-1</f>
        <v/>
      </c>
      <c r="G170" s="4">
        <f>E170/E169-1</f>
        <v/>
      </c>
    </row>
    <row r="171">
      <c r="A171" s="2" t="n">
        <v>44694</v>
      </c>
      <c r="B171" s="3" t="n">
        <v>15782.15</v>
      </c>
      <c r="C171" s="3" t="n">
        <v>15782.15</v>
      </c>
      <c r="D171" s="3" t="n">
        <v>1060.88</v>
      </c>
      <c r="E171" s="3" t="n">
        <v>1032.03</v>
      </c>
      <c r="F171" s="4">
        <f>C171/C170-1</f>
        <v/>
      </c>
      <c r="G171" s="4">
        <f>E171/E170-1</f>
        <v/>
      </c>
    </row>
    <row r="172">
      <c r="A172" s="2" t="n">
        <v>44697</v>
      </c>
      <c r="B172" s="3" t="n">
        <v>15842.3</v>
      </c>
      <c r="C172" s="3" t="n">
        <v>15842.3</v>
      </c>
      <c r="D172" s="3" t="n">
        <v>1057.32</v>
      </c>
      <c r="E172" s="3" t="n">
        <v>1028.57</v>
      </c>
      <c r="F172" s="4">
        <f>C172/C171-1</f>
        <v/>
      </c>
      <c r="G172" s="4">
        <f>E172/E171-1</f>
        <v/>
      </c>
    </row>
    <row r="173">
      <c r="A173" s="2" t="n">
        <v>44698</v>
      </c>
      <c r="B173" s="3" t="n">
        <v>16259.3</v>
      </c>
      <c r="C173" s="3" t="n">
        <v>16259.3</v>
      </c>
      <c r="D173" s="3" t="n">
        <v>1084.78</v>
      </c>
      <c r="E173" s="3" t="n">
        <v>1055.28</v>
      </c>
      <c r="F173" s="4">
        <f>C173/C172-1</f>
        <v/>
      </c>
      <c r="G173" s="4">
        <f>E173/E172-1</f>
        <v/>
      </c>
    </row>
    <row r="174">
      <c r="A174" s="2" t="n">
        <v>44699</v>
      </c>
      <c r="B174" s="3" t="n">
        <v>16240.3</v>
      </c>
      <c r="C174" s="3" t="n">
        <v>16240.3</v>
      </c>
      <c r="D174" s="3" t="n">
        <v>1081.47</v>
      </c>
      <c r="E174" s="3" t="n">
        <v>1052.07</v>
      </c>
      <c r="F174" s="4">
        <f>C174/C173-1</f>
        <v/>
      </c>
      <c r="G174" s="4">
        <f>E174/E173-1</f>
        <v/>
      </c>
    </row>
    <row r="175">
      <c r="A175" s="2" t="n">
        <v>44700</v>
      </c>
      <c r="B175" s="3" t="n">
        <v>15809.4</v>
      </c>
      <c r="C175" s="3" t="n">
        <v>15809.4</v>
      </c>
      <c r="D175" s="3" t="n">
        <v>1058.93</v>
      </c>
      <c r="E175" s="3" t="n">
        <v>1030.13</v>
      </c>
      <c r="F175" s="4">
        <f>C175/C174-1</f>
        <v/>
      </c>
      <c r="G175" s="4">
        <f>E175/E174-1</f>
        <v/>
      </c>
    </row>
    <row r="176">
      <c r="A176" s="2" t="n">
        <v>44701</v>
      </c>
      <c r="B176" s="3" t="n">
        <v>16266.15</v>
      </c>
      <c r="C176" s="3" t="n">
        <v>16266.15</v>
      </c>
      <c r="D176" s="3" t="n">
        <v>1069.72</v>
      </c>
      <c r="E176" s="3" t="n">
        <v>1040.64</v>
      </c>
      <c r="F176" s="4">
        <f>C176/C175-1</f>
        <v/>
      </c>
      <c r="G176" s="4">
        <f>E176/E175-1</f>
        <v/>
      </c>
    </row>
    <row r="177">
      <c r="A177" s="2" t="n">
        <v>44704</v>
      </c>
      <c r="B177" s="3" t="n">
        <v>16214.7</v>
      </c>
      <c r="C177" s="3" t="n">
        <v>16214.7</v>
      </c>
      <c r="D177" s="3" t="n">
        <v>1094.38</v>
      </c>
      <c r="E177" s="3" t="n">
        <v>1064.62</v>
      </c>
      <c r="F177" s="4">
        <f>C177/C176-1</f>
        <v/>
      </c>
      <c r="G177" s="4">
        <f>E177/E176-1</f>
        <v/>
      </c>
    </row>
    <row r="178">
      <c r="A178" s="2" t="n">
        <v>44705</v>
      </c>
      <c r="B178" s="3" t="n">
        <v>16125.15</v>
      </c>
      <c r="C178" s="3" t="n">
        <v>16125.15</v>
      </c>
      <c r="D178" s="3" t="n">
        <v>1086.28</v>
      </c>
      <c r="E178" s="3" t="n">
        <v>1056.74</v>
      </c>
      <c r="F178" s="4">
        <f>C178/C177-1</f>
        <v/>
      </c>
      <c r="G178" s="4">
        <f>E178/E177-1</f>
        <v/>
      </c>
    </row>
    <row r="179">
      <c r="A179" s="2" t="n">
        <v>44706</v>
      </c>
      <c r="B179" s="3" t="n">
        <v>16025.8</v>
      </c>
      <c r="C179" s="3" t="n">
        <v>16025.8</v>
      </c>
      <c r="D179" s="3" t="n">
        <v>1069.7</v>
      </c>
      <c r="E179" s="3" t="n">
        <v>1040.61</v>
      </c>
      <c r="F179" s="4">
        <f>C179/C178-1</f>
        <v/>
      </c>
      <c r="G179" s="4">
        <f>E179/E178-1</f>
        <v/>
      </c>
    </row>
    <row r="180">
      <c r="A180" s="2" t="n">
        <v>44707</v>
      </c>
      <c r="B180" s="3" t="n">
        <v>16170.15</v>
      </c>
      <c r="C180" s="3" t="n">
        <v>16170.15</v>
      </c>
      <c r="D180" s="3" t="n">
        <v>1066.55</v>
      </c>
      <c r="E180" s="3" t="n">
        <v>1037.55</v>
      </c>
      <c r="F180" s="4">
        <f>C180/C179-1</f>
        <v/>
      </c>
      <c r="G180" s="4">
        <f>E180/E179-1</f>
        <v/>
      </c>
    </row>
    <row r="181">
      <c r="A181" s="2" t="n">
        <v>44708</v>
      </c>
      <c r="B181" s="3" t="n">
        <v>16352.45</v>
      </c>
      <c r="C181" s="3" t="n">
        <v>16352.45</v>
      </c>
      <c r="D181" s="3" t="n">
        <v>1081.75</v>
      </c>
      <c r="E181" s="3" t="n">
        <v>1052.33</v>
      </c>
      <c r="F181" s="4">
        <f>C181/C180-1</f>
        <v/>
      </c>
      <c r="G181" s="4">
        <f>E181/E180-1</f>
        <v/>
      </c>
    </row>
    <row r="182">
      <c r="A182" s="2" t="n">
        <v>44711</v>
      </c>
      <c r="B182" s="3" t="n">
        <v>16661.4</v>
      </c>
      <c r="C182" s="3" t="n">
        <v>16661.4</v>
      </c>
      <c r="D182" s="3" t="n">
        <v>1112.3</v>
      </c>
      <c r="E182" s="3" t="n">
        <v>1082.05</v>
      </c>
      <c r="F182" s="4">
        <f>C182/C181-1</f>
        <v/>
      </c>
      <c r="G182" s="4">
        <f>E182/E181-1</f>
        <v/>
      </c>
    </row>
    <row r="183">
      <c r="A183" s="2" t="n">
        <v>44712</v>
      </c>
      <c r="B183" s="3" t="n">
        <v>16584.55</v>
      </c>
      <c r="C183" s="3" t="n">
        <v>16584.55</v>
      </c>
      <c r="D183" s="3" t="n">
        <v>1122.7</v>
      </c>
      <c r="E183" s="3" t="n">
        <v>1092.17</v>
      </c>
      <c r="F183" s="4">
        <f>C183/C182-1</f>
        <v/>
      </c>
      <c r="G183" s="4">
        <f>E183/E182-1</f>
        <v/>
      </c>
    </row>
    <row r="184">
      <c r="A184" s="2" t="n">
        <v>44713</v>
      </c>
      <c r="B184" s="3" t="n">
        <v>16522.75</v>
      </c>
      <c r="C184" s="3" t="n">
        <v>16522.75</v>
      </c>
      <c r="D184" s="3" t="n">
        <v>1102.6</v>
      </c>
      <c r="E184" s="3" t="n">
        <v>1072.62</v>
      </c>
      <c r="F184" s="4">
        <f>C184/C183-1</f>
        <v/>
      </c>
      <c r="G184" s="4">
        <f>E184/E183-1</f>
        <v/>
      </c>
    </row>
    <row r="185">
      <c r="A185" s="2" t="n">
        <v>44714</v>
      </c>
      <c r="B185" s="3" t="n">
        <v>16628</v>
      </c>
      <c r="C185" s="3" t="n">
        <v>16628</v>
      </c>
      <c r="D185" s="3" t="n">
        <v>1122.88</v>
      </c>
      <c r="E185" s="3" t="n">
        <v>1092.34</v>
      </c>
      <c r="F185" s="4">
        <f>C185/C184-1</f>
        <v/>
      </c>
      <c r="G185" s="4">
        <f>E185/E184-1</f>
        <v/>
      </c>
    </row>
    <row r="186">
      <c r="A186" s="2" t="n">
        <v>44715</v>
      </c>
      <c r="B186" s="3" t="n">
        <v>16584.3</v>
      </c>
      <c r="C186" s="3" t="n">
        <v>16584.3</v>
      </c>
      <c r="D186" s="3" t="n">
        <v>1097.8</v>
      </c>
      <c r="E186" s="3" t="n">
        <v>1067.95</v>
      </c>
      <c r="F186" s="4">
        <f>C186/C185-1</f>
        <v/>
      </c>
      <c r="G186" s="4">
        <f>E186/E185-1</f>
        <v/>
      </c>
    </row>
    <row r="187">
      <c r="A187" s="2" t="n">
        <v>44718</v>
      </c>
      <c r="B187" s="3" t="n">
        <v>16569.55</v>
      </c>
      <c r="C187" s="3" t="n">
        <v>16569.55</v>
      </c>
      <c r="D187" s="3" t="n">
        <v>1086</v>
      </c>
      <c r="E187" s="3" t="n">
        <v>1056.47</v>
      </c>
      <c r="F187" s="4">
        <f>C187/C186-1</f>
        <v/>
      </c>
      <c r="G187" s="4">
        <f>E187/E186-1</f>
        <v/>
      </c>
    </row>
    <row r="188">
      <c r="A188" s="2" t="n">
        <v>44719</v>
      </c>
      <c r="B188" s="3" t="n">
        <v>16416.35</v>
      </c>
      <c r="C188" s="3" t="n">
        <v>16416.35</v>
      </c>
      <c r="D188" s="3" t="n">
        <v>1066.65</v>
      </c>
      <c r="E188" s="3" t="n">
        <v>1037.64</v>
      </c>
      <c r="F188" s="4">
        <f>C188/C187-1</f>
        <v/>
      </c>
      <c r="G188" s="4">
        <f>E188/E187-1</f>
        <v/>
      </c>
    </row>
    <row r="189">
      <c r="A189" s="2" t="n">
        <v>44720</v>
      </c>
      <c r="B189" s="3" t="n">
        <v>16356.25</v>
      </c>
      <c r="C189" s="3" t="n">
        <v>16356.25</v>
      </c>
      <c r="D189" s="3" t="n">
        <v>1050.43</v>
      </c>
      <c r="E189" s="3" t="n">
        <v>1021.86</v>
      </c>
      <c r="F189" s="4">
        <f>C189/C188-1</f>
        <v/>
      </c>
      <c r="G189" s="4">
        <f>E189/E188-1</f>
        <v/>
      </c>
    </row>
    <row r="190">
      <c r="A190" s="2" t="n">
        <v>44721</v>
      </c>
      <c r="B190" s="3" t="n">
        <v>16478.1</v>
      </c>
      <c r="C190" s="3" t="n">
        <v>16478.1</v>
      </c>
      <c r="D190" s="3" t="n">
        <v>1048.28</v>
      </c>
      <c r="E190" s="3" t="n">
        <v>1019.77</v>
      </c>
      <c r="F190" s="4">
        <f>C190/C189-1</f>
        <v/>
      </c>
      <c r="G190" s="4">
        <f>E190/E189-1</f>
        <v/>
      </c>
    </row>
    <row r="191">
      <c r="A191" s="2" t="n">
        <v>44722</v>
      </c>
      <c r="B191" s="3" t="n">
        <v>16201.8</v>
      </c>
      <c r="C191" s="3" t="n">
        <v>16201.8</v>
      </c>
      <c r="D191" s="3" t="n">
        <v>1054.4</v>
      </c>
      <c r="E191" s="3" t="n">
        <v>1025.73</v>
      </c>
      <c r="F191" s="4">
        <f>C191/C190-1</f>
        <v/>
      </c>
      <c r="G191" s="4">
        <f>E191/E190-1</f>
        <v/>
      </c>
    </row>
    <row r="192">
      <c r="A192" s="2" t="n">
        <v>44725</v>
      </c>
      <c r="B192" s="3" t="n">
        <v>15774.4</v>
      </c>
      <c r="C192" s="3" t="n">
        <v>15774.4</v>
      </c>
      <c r="D192" s="3" t="n">
        <v>1066.22</v>
      </c>
      <c r="E192" s="3" t="n">
        <v>1037.23</v>
      </c>
      <c r="F192" s="4">
        <f>C192/C191-1</f>
        <v/>
      </c>
      <c r="G192" s="4">
        <f>E192/E191-1</f>
        <v/>
      </c>
    </row>
    <row r="193">
      <c r="A193" s="2" t="n">
        <v>44726</v>
      </c>
      <c r="B193" s="3" t="n">
        <v>15732.1</v>
      </c>
      <c r="C193" s="3" t="n">
        <v>15732.1</v>
      </c>
      <c r="D193" s="3" t="n">
        <v>1060.05</v>
      </c>
      <c r="E193" s="3" t="n">
        <v>1031.22</v>
      </c>
      <c r="F193" s="4">
        <f>C193/C192-1</f>
        <v/>
      </c>
      <c r="G193" s="4">
        <f>E193/E192-1</f>
        <v/>
      </c>
    </row>
    <row r="194">
      <c r="A194" s="2" t="n">
        <v>44727</v>
      </c>
      <c r="B194" s="3" t="n">
        <v>15692.15</v>
      </c>
      <c r="C194" s="3" t="n">
        <v>15692.15</v>
      </c>
      <c r="D194" s="3" t="n">
        <v>1056.32</v>
      </c>
      <c r="E194" s="3" t="n">
        <v>1027.6</v>
      </c>
      <c r="F194" s="4">
        <f>C194/C193-1</f>
        <v/>
      </c>
      <c r="G194" s="4">
        <f>E194/E193-1</f>
        <v/>
      </c>
    </row>
    <row r="195">
      <c r="A195" s="2" t="n">
        <v>44728</v>
      </c>
      <c r="B195" s="3" t="n">
        <v>15360.6</v>
      </c>
      <c r="C195" s="3" t="n">
        <v>15360.6</v>
      </c>
      <c r="D195" s="3" t="n">
        <v>1048.53</v>
      </c>
      <c r="E195" s="3" t="n">
        <v>1020.01</v>
      </c>
      <c r="F195" s="4">
        <f>C195/C194-1</f>
        <v/>
      </c>
      <c r="G195" s="4">
        <f>E195/E194-1</f>
        <v/>
      </c>
    </row>
    <row r="196">
      <c r="A196" s="2" t="n">
        <v>44729</v>
      </c>
      <c r="B196" s="3" t="n">
        <v>15293.5</v>
      </c>
      <c r="C196" s="3" t="n">
        <v>15293.5</v>
      </c>
      <c r="D196" s="3" t="n">
        <v>999.72</v>
      </c>
      <c r="E196" s="3" t="n">
        <v>972.54</v>
      </c>
      <c r="F196" s="4">
        <f>C196/C195-1</f>
        <v/>
      </c>
      <c r="G196" s="4">
        <f>E196/E195-1</f>
        <v/>
      </c>
    </row>
    <row r="197">
      <c r="A197" s="2" t="n">
        <v>44732</v>
      </c>
      <c r="B197" s="3" t="n">
        <v>15350.15</v>
      </c>
      <c r="C197" s="3" t="n">
        <v>15350.15</v>
      </c>
      <c r="D197" s="3" t="n">
        <v>1053.32</v>
      </c>
      <c r="E197" s="3" t="n">
        <v>1024.68</v>
      </c>
      <c r="F197" s="4">
        <f>C197/C196-1</f>
        <v/>
      </c>
      <c r="G197" s="4">
        <f>E197/E196-1</f>
        <v/>
      </c>
    </row>
    <row r="198">
      <c r="A198" s="2" t="n">
        <v>44733</v>
      </c>
      <c r="B198" s="3" t="n">
        <v>15638.8</v>
      </c>
      <c r="C198" s="3" t="n">
        <v>15638.8</v>
      </c>
      <c r="D198" s="3" t="n">
        <v>1050.3</v>
      </c>
      <c r="E198" s="3" t="n">
        <v>1021.74</v>
      </c>
      <c r="F198" s="4">
        <f>C198/C197-1</f>
        <v/>
      </c>
      <c r="G198" s="4">
        <f>E198/E197-1</f>
        <v/>
      </c>
    </row>
    <row r="199">
      <c r="A199" s="2" t="n">
        <v>44734</v>
      </c>
      <c r="B199" s="3" t="n">
        <v>15413.3</v>
      </c>
      <c r="C199" s="3" t="n">
        <v>15413.3</v>
      </c>
      <c r="D199" s="3" t="n">
        <v>1041.05</v>
      </c>
      <c r="E199" s="3" t="n">
        <v>1012.74</v>
      </c>
      <c r="F199" s="4">
        <f>C199/C198-1</f>
        <v/>
      </c>
      <c r="G199" s="4">
        <f>E199/E198-1</f>
        <v/>
      </c>
    </row>
    <row r="200">
      <c r="A200" s="2" t="n">
        <v>44735</v>
      </c>
      <c r="B200" s="3" t="n">
        <v>15556.65</v>
      </c>
      <c r="C200" s="3" t="n">
        <v>15556.65</v>
      </c>
      <c r="D200" s="3" t="n">
        <v>1072.78</v>
      </c>
      <c r="E200" s="3" t="n">
        <v>1043.6</v>
      </c>
      <c r="F200" s="4">
        <f>C200/C199-1</f>
        <v/>
      </c>
      <c r="G200" s="4">
        <f>E200/E199-1</f>
        <v/>
      </c>
    </row>
    <row r="201">
      <c r="A201" s="2" t="n">
        <v>44736</v>
      </c>
      <c r="B201" s="3" t="n">
        <v>15699.25</v>
      </c>
      <c r="C201" s="3" t="n">
        <v>15699.25</v>
      </c>
      <c r="D201" s="3" t="n">
        <v>1084.62</v>
      </c>
      <c r="E201" s="3" t="n">
        <v>1055.13</v>
      </c>
      <c r="F201" s="4">
        <f>C201/C200-1</f>
        <v/>
      </c>
      <c r="G201" s="4">
        <f>E201/E200-1</f>
        <v/>
      </c>
    </row>
    <row r="202">
      <c r="A202" s="2" t="n">
        <v>44739</v>
      </c>
      <c r="B202" s="3" t="n">
        <v>15832.05</v>
      </c>
      <c r="C202" s="3" t="n">
        <v>15832.05</v>
      </c>
      <c r="D202" s="3" t="n">
        <v>1071.57</v>
      </c>
      <c r="E202" s="3" t="n">
        <v>1042.44</v>
      </c>
      <c r="F202" s="4">
        <f>C202/C201-1</f>
        <v/>
      </c>
      <c r="G202" s="4">
        <f>E202/E201-1</f>
        <v/>
      </c>
    </row>
    <row r="203">
      <c r="A203" s="2" t="n">
        <v>44740</v>
      </c>
      <c r="B203" s="3" t="n">
        <v>15850.2</v>
      </c>
      <c r="C203" s="3" t="n">
        <v>15850.2</v>
      </c>
      <c r="D203" s="3" t="n">
        <v>1058.1</v>
      </c>
      <c r="E203" s="3" t="n">
        <v>1029.33</v>
      </c>
      <c r="F203" s="4">
        <f>C203/C202-1</f>
        <v/>
      </c>
      <c r="G203" s="4">
        <f>E203/E202-1</f>
        <v/>
      </c>
    </row>
    <row r="204">
      <c r="A204" s="2" t="n">
        <v>44741</v>
      </c>
      <c r="B204" s="3" t="n">
        <v>15799.1</v>
      </c>
      <c r="C204" s="3" t="n">
        <v>15799.1</v>
      </c>
      <c r="D204" s="3" t="n">
        <v>1049.07</v>
      </c>
      <c r="E204" s="3" t="n">
        <v>1020.55</v>
      </c>
      <c r="F204" s="4">
        <f>C204/C203-1</f>
        <v/>
      </c>
      <c r="G204" s="4">
        <f>E204/E203-1</f>
        <v/>
      </c>
    </row>
    <row r="205">
      <c r="A205" s="2" t="n">
        <v>44742</v>
      </c>
      <c r="B205" s="3" t="n">
        <v>15780.25</v>
      </c>
      <c r="C205" s="3" t="n">
        <v>15780.25</v>
      </c>
      <c r="D205" s="3" t="n">
        <v>1044.95</v>
      </c>
      <c r="E205" s="3" t="n">
        <v>1016.53</v>
      </c>
      <c r="F205" s="4">
        <f>C205/C204-1</f>
        <v/>
      </c>
      <c r="G205" s="4">
        <f>E205/E204-1</f>
        <v/>
      </c>
    </row>
    <row r="206">
      <c r="A206" s="2" t="n">
        <v>44743</v>
      </c>
      <c r="B206" s="3" t="n">
        <v>15752.05</v>
      </c>
      <c r="C206" s="3" t="n">
        <v>15752.05</v>
      </c>
      <c r="D206" s="3" t="n">
        <v>1079.18</v>
      </c>
      <c r="E206" s="3" t="n">
        <v>1049.83</v>
      </c>
      <c r="F206" s="4">
        <f>C206/C205-1</f>
        <v/>
      </c>
      <c r="G206" s="4">
        <f>E206/E205-1</f>
        <v/>
      </c>
    </row>
    <row r="207">
      <c r="A207" s="2" t="n">
        <v>44746</v>
      </c>
      <c r="B207" s="3" t="n">
        <v>15835.35</v>
      </c>
      <c r="C207" s="3" t="n">
        <v>15835.35</v>
      </c>
      <c r="D207" s="3" t="n">
        <v>1096.22</v>
      </c>
      <c r="E207" s="3" t="n">
        <v>1066.42</v>
      </c>
      <c r="F207" s="4">
        <f>C207/C206-1</f>
        <v/>
      </c>
      <c r="G207" s="4">
        <f>E207/E206-1</f>
        <v/>
      </c>
    </row>
    <row r="208">
      <c r="A208" s="2" t="n">
        <v>44747</v>
      </c>
      <c r="B208" s="3" t="n">
        <v>15810.85</v>
      </c>
      <c r="C208" s="3" t="n">
        <v>15810.85</v>
      </c>
      <c r="D208" s="3" t="n">
        <v>1088.53</v>
      </c>
      <c r="E208" s="3" t="n">
        <v>1058.92</v>
      </c>
      <c r="F208" s="4">
        <f>C208/C207-1</f>
        <v/>
      </c>
      <c r="G208" s="4">
        <f>E208/E207-1</f>
        <v/>
      </c>
    </row>
    <row r="209">
      <c r="A209" s="2" t="n">
        <v>44748</v>
      </c>
      <c r="B209" s="3" t="n">
        <v>15989.8</v>
      </c>
      <c r="C209" s="3" t="n">
        <v>15989.8</v>
      </c>
      <c r="D209" s="3" t="n">
        <v>1109.78</v>
      </c>
      <c r="E209" s="3" t="n">
        <v>1079.6</v>
      </c>
      <c r="F209" s="4">
        <f>C209/C208-1</f>
        <v/>
      </c>
      <c r="G209" s="4">
        <f>E209/E208-1</f>
        <v/>
      </c>
    </row>
    <row r="210">
      <c r="A210" s="2" t="n">
        <v>44749</v>
      </c>
      <c r="B210" s="3" t="n">
        <v>16132.9</v>
      </c>
      <c r="C210" s="3" t="n">
        <v>16132.9</v>
      </c>
      <c r="D210" s="3" t="n">
        <v>1118.53</v>
      </c>
      <c r="E210" s="3" t="n">
        <v>1088.11</v>
      </c>
      <c r="F210" s="4">
        <f>C210/C209-1</f>
        <v/>
      </c>
      <c r="G210" s="4">
        <f>E210/E209-1</f>
        <v/>
      </c>
    </row>
    <row r="211">
      <c r="A211" s="2" t="n">
        <v>44750</v>
      </c>
      <c r="B211" s="3" t="n">
        <v>16220.6</v>
      </c>
      <c r="C211" s="3" t="n">
        <v>16220.6</v>
      </c>
      <c r="D211" s="3" t="n">
        <v>1125.43</v>
      </c>
      <c r="E211" s="3" t="n">
        <v>1094.82</v>
      </c>
      <c r="F211" s="4">
        <f>C211/C210-1</f>
        <v/>
      </c>
      <c r="G211" s="4">
        <f>E211/E210-1</f>
        <v/>
      </c>
    </row>
    <row r="212">
      <c r="A212" s="2" t="n">
        <v>44753</v>
      </c>
      <c r="B212" s="3" t="n">
        <v>16216</v>
      </c>
      <c r="C212" s="3" t="n">
        <v>16216</v>
      </c>
      <c r="D212" s="3" t="n">
        <v>1134.28</v>
      </c>
      <c r="E212" s="3" t="n">
        <v>1103.43</v>
      </c>
      <c r="F212" s="4">
        <f>C212/C211-1</f>
        <v/>
      </c>
      <c r="G212" s="4">
        <f>E212/E211-1</f>
        <v/>
      </c>
    </row>
    <row r="213">
      <c r="A213" s="2" t="n">
        <v>44754</v>
      </c>
      <c r="B213" s="3" t="n">
        <v>16058.3</v>
      </c>
      <c r="C213" s="3" t="n">
        <v>16058.3</v>
      </c>
      <c r="D213" s="3" t="n">
        <v>1125.38</v>
      </c>
      <c r="E213" s="3" t="n">
        <v>1094.77</v>
      </c>
      <c r="F213" s="4">
        <f>C213/C212-1</f>
        <v/>
      </c>
      <c r="G213" s="4">
        <f>E213/E212-1</f>
        <v/>
      </c>
    </row>
    <row r="214">
      <c r="A214" s="2" t="n">
        <v>44755</v>
      </c>
      <c r="B214" s="3" t="n">
        <v>15966.65</v>
      </c>
      <c r="C214" s="3" t="n">
        <v>15966.65</v>
      </c>
      <c r="D214" s="3" t="n">
        <v>1142.72</v>
      </c>
      <c r="E214" s="3" t="n">
        <v>1111.65</v>
      </c>
      <c r="F214" s="4">
        <f>C214/C213-1</f>
        <v/>
      </c>
      <c r="G214" s="4">
        <f>E214/E213-1</f>
        <v/>
      </c>
    </row>
    <row r="215">
      <c r="A215" s="2" t="n">
        <v>44756</v>
      </c>
      <c r="B215" s="3" t="n">
        <v>15938.65</v>
      </c>
      <c r="C215" s="3" t="n">
        <v>15938.65</v>
      </c>
      <c r="D215" s="3" t="n">
        <v>1144.9</v>
      </c>
      <c r="E215" s="3" t="n">
        <v>1113.77</v>
      </c>
      <c r="F215" s="4">
        <f>C215/C214-1</f>
        <v/>
      </c>
      <c r="G215" s="4">
        <f>E215/E214-1</f>
        <v/>
      </c>
    </row>
    <row r="216">
      <c r="A216" s="2" t="n">
        <v>44757</v>
      </c>
      <c r="B216" s="3" t="n">
        <v>16049.2</v>
      </c>
      <c r="C216" s="3" t="n">
        <v>16049.2</v>
      </c>
      <c r="D216" s="3" t="n">
        <v>1153.82</v>
      </c>
      <c r="E216" s="3" t="n">
        <v>1122.45</v>
      </c>
      <c r="F216" s="4">
        <f>C216/C215-1</f>
        <v/>
      </c>
      <c r="G216" s="4">
        <f>E216/E215-1</f>
        <v/>
      </c>
    </row>
    <row r="217">
      <c r="A217" s="2" t="n">
        <v>44760</v>
      </c>
      <c r="B217" s="3" t="n">
        <v>16278.5</v>
      </c>
      <c r="C217" s="3" t="n">
        <v>16278.5</v>
      </c>
      <c r="D217" s="3" t="n">
        <v>1151.05</v>
      </c>
      <c r="E217" s="3" t="n">
        <v>1119.75</v>
      </c>
      <c r="F217" s="4">
        <f>C217/C216-1</f>
        <v/>
      </c>
      <c r="G217" s="4">
        <f>E217/E216-1</f>
        <v/>
      </c>
    </row>
    <row r="218">
      <c r="A218" s="2" t="n">
        <v>44761</v>
      </c>
      <c r="B218" s="3" t="n">
        <v>16340.55</v>
      </c>
      <c r="C218" s="3" t="n">
        <v>16340.55</v>
      </c>
      <c r="D218" s="3" t="n">
        <v>1145.72</v>
      </c>
      <c r="E218" s="3" t="n">
        <v>1114.57</v>
      </c>
      <c r="F218" s="4">
        <f>C218/C217-1</f>
        <v/>
      </c>
      <c r="G218" s="4">
        <f>E218/E217-1</f>
        <v/>
      </c>
    </row>
    <row r="219">
      <c r="A219" s="2" t="n">
        <v>44762</v>
      </c>
      <c r="B219" s="3" t="n">
        <v>16520.85</v>
      </c>
      <c r="C219" s="3" t="n">
        <v>16520.85</v>
      </c>
      <c r="D219" s="3" t="n">
        <v>1160.43</v>
      </c>
      <c r="E219" s="3" t="n">
        <v>1128.87</v>
      </c>
      <c r="F219" s="4">
        <f>C219/C218-1</f>
        <v/>
      </c>
      <c r="G219" s="4">
        <f>E219/E218-1</f>
        <v/>
      </c>
    </row>
    <row r="220">
      <c r="A220" s="2" t="n">
        <v>44763</v>
      </c>
      <c r="B220" s="3" t="n">
        <v>16605.25</v>
      </c>
      <c r="C220" s="3" t="n">
        <v>16605.25</v>
      </c>
      <c r="D220" s="3" t="n">
        <v>1181.07</v>
      </c>
      <c r="E220" s="3" t="n">
        <v>1148.96</v>
      </c>
      <c r="F220" s="4">
        <f>C220/C219-1</f>
        <v/>
      </c>
      <c r="G220" s="4">
        <f>E220/E219-1</f>
        <v/>
      </c>
    </row>
    <row r="221">
      <c r="A221" s="2" t="n">
        <v>44764</v>
      </c>
      <c r="B221" s="3" t="n">
        <v>16719.45</v>
      </c>
      <c r="C221" s="3" t="n">
        <v>16719.45</v>
      </c>
      <c r="D221" s="3" t="n">
        <v>1178.88</v>
      </c>
      <c r="E221" s="3" t="n">
        <v>1146.82</v>
      </c>
      <c r="F221" s="4">
        <f>C221/C220-1</f>
        <v/>
      </c>
      <c r="G221" s="4">
        <f>E221/E220-1</f>
        <v/>
      </c>
    </row>
    <row r="222">
      <c r="A222" s="2" t="n">
        <v>44767</v>
      </c>
      <c r="B222" s="3" t="n">
        <v>16631</v>
      </c>
      <c r="C222" s="3" t="n">
        <v>16631</v>
      </c>
      <c r="D222" s="3" t="n">
        <v>1166.65</v>
      </c>
      <c r="E222" s="3" t="n">
        <v>1134.93</v>
      </c>
      <c r="F222" s="4">
        <f>C222/C221-1</f>
        <v/>
      </c>
      <c r="G222" s="4">
        <f>E222/E221-1</f>
        <v/>
      </c>
    </row>
    <row r="223">
      <c r="A223" s="2" t="n">
        <v>44768</v>
      </c>
      <c r="B223" s="3" t="n">
        <v>16483.85</v>
      </c>
      <c r="C223" s="3" t="n">
        <v>16483.85</v>
      </c>
      <c r="D223" s="3" t="n">
        <v>1160.25</v>
      </c>
      <c r="E223" s="3" t="n">
        <v>1133.56</v>
      </c>
      <c r="F223" s="4">
        <f>C223/C222-1</f>
        <v/>
      </c>
      <c r="G223" s="4">
        <f>E223/E222-1</f>
        <v/>
      </c>
    </row>
    <row r="224">
      <c r="A224" s="2" t="n">
        <v>44769</v>
      </c>
      <c r="B224" s="3" t="n">
        <v>16641.8</v>
      </c>
      <c r="C224" s="3" t="n">
        <v>16641.8</v>
      </c>
      <c r="D224" s="3" t="n">
        <v>1177.2</v>
      </c>
      <c r="E224" s="3" t="n">
        <v>1150.12</v>
      </c>
      <c r="F224" s="4">
        <f>C224/C223-1</f>
        <v/>
      </c>
      <c r="G224" s="4">
        <f>E224/E223-1</f>
        <v/>
      </c>
    </row>
    <row r="225">
      <c r="A225" s="2" t="n">
        <v>44770</v>
      </c>
      <c r="B225" s="3" t="n">
        <v>16929.6</v>
      </c>
      <c r="C225" s="3" t="n">
        <v>16929.6</v>
      </c>
      <c r="D225" s="3" t="n">
        <v>1199.9</v>
      </c>
      <c r="E225" s="3" t="n">
        <v>1172.3</v>
      </c>
      <c r="F225" s="4">
        <f>C225/C224-1</f>
        <v/>
      </c>
      <c r="G225" s="4">
        <f>E225/E224-1</f>
        <v/>
      </c>
    </row>
    <row r="226">
      <c r="A226" s="2" t="n">
        <v>44771</v>
      </c>
      <c r="B226" s="3" t="n">
        <v>17158.25</v>
      </c>
      <c r="C226" s="3" t="n">
        <v>17158.25</v>
      </c>
      <c r="D226" s="3" t="n">
        <v>1225.62</v>
      </c>
      <c r="E226" s="3" t="n">
        <v>1197.43</v>
      </c>
      <c r="F226" s="4">
        <f>C226/C225-1</f>
        <v/>
      </c>
      <c r="G226" s="4">
        <f>E226/E225-1</f>
        <v/>
      </c>
    </row>
    <row r="227">
      <c r="A227" s="2" t="n">
        <v>44774</v>
      </c>
      <c r="B227" s="3" t="n">
        <v>17340.05</v>
      </c>
      <c r="C227" s="3" t="n">
        <v>17340.05</v>
      </c>
      <c r="D227" s="3" t="n">
        <v>1248.07</v>
      </c>
      <c r="E227" s="3" t="n">
        <v>1219.36</v>
      </c>
      <c r="F227" s="4">
        <f>C227/C226-1</f>
        <v/>
      </c>
      <c r="G227" s="4">
        <f>E227/E226-1</f>
        <v/>
      </c>
    </row>
    <row r="228">
      <c r="A228" s="2" t="n">
        <v>44775</v>
      </c>
      <c r="B228" s="3" t="n">
        <v>17345.45</v>
      </c>
      <c r="C228" s="3" t="n">
        <v>17345.45</v>
      </c>
      <c r="D228" s="3" t="n">
        <v>1260.22</v>
      </c>
      <c r="E228" s="3" t="n">
        <v>1231.23</v>
      </c>
      <c r="F228" s="4">
        <f>C228/C227-1</f>
        <v/>
      </c>
      <c r="G228" s="4">
        <f>E228/E227-1</f>
        <v/>
      </c>
    </row>
    <row r="229">
      <c r="A229" s="2" t="n">
        <v>44776</v>
      </c>
      <c r="B229" s="3" t="n">
        <v>17388.15</v>
      </c>
      <c r="C229" s="3" t="n">
        <v>17388.15</v>
      </c>
      <c r="D229" s="3" t="n">
        <v>1261.62</v>
      </c>
      <c r="E229" s="3" t="n">
        <v>1232.6</v>
      </c>
      <c r="F229" s="4">
        <f>C229/C228-1</f>
        <v/>
      </c>
      <c r="G229" s="4">
        <f>E229/E228-1</f>
        <v/>
      </c>
    </row>
    <row r="230">
      <c r="A230" s="2" t="n">
        <v>44777</v>
      </c>
      <c r="B230" s="3" t="n">
        <v>17382</v>
      </c>
      <c r="C230" s="3" t="n">
        <v>17382</v>
      </c>
      <c r="D230" s="3" t="n">
        <v>1277.05</v>
      </c>
      <c r="E230" s="3" t="n">
        <v>1247.67</v>
      </c>
      <c r="F230" s="4">
        <f>C230/C229-1</f>
        <v/>
      </c>
      <c r="G230" s="4">
        <f>E230/E229-1</f>
        <v/>
      </c>
    </row>
    <row r="231">
      <c r="A231" s="2" t="n">
        <v>44778</v>
      </c>
      <c r="B231" s="3" t="n">
        <v>17397.5</v>
      </c>
      <c r="C231" s="3" t="n">
        <v>17397.5</v>
      </c>
      <c r="D231" s="3" t="n">
        <v>1320.43</v>
      </c>
      <c r="E231" s="3" t="n">
        <v>1290.05</v>
      </c>
      <c r="F231" s="4">
        <f>C231/C230-1</f>
        <v/>
      </c>
      <c r="G231" s="4">
        <f>E231/E230-1</f>
        <v/>
      </c>
    </row>
    <row r="232">
      <c r="A232" s="2" t="n">
        <v>44781</v>
      </c>
      <c r="B232" s="3" t="n">
        <v>17525.1</v>
      </c>
      <c r="C232" s="3" t="n">
        <v>17525.1</v>
      </c>
      <c r="D232" s="3" t="n">
        <v>1324.68</v>
      </c>
      <c r="E232" s="3" t="n">
        <v>1294.2</v>
      </c>
      <c r="F232" s="4">
        <f>C232/C231-1</f>
        <v/>
      </c>
      <c r="G232" s="4">
        <f>E232/E231-1</f>
        <v/>
      </c>
    </row>
    <row r="233">
      <c r="A233" s="2" t="n">
        <v>44783</v>
      </c>
      <c r="B233" s="3" t="n">
        <v>17534.75</v>
      </c>
      <c r="C233" s="3" t="n">
        <v>17534.75</v>
      </c>
      <c r="D233" s="3" t="n">
        <v>1318.4</v>
      </c>
      <c r="E233" s="3" t="n">
        <v>1288.07</v>
      </c>
      <c r="F233" s="4">
        <f>C233/C232-1</f>
        <v/>
      </c>
      <c r="G233" s="4">
        <f>E233/E232-1</f>
        <v/>
      </c>
    </row>
    <row r="234">
      <c r="A234" s="2" t="n">
        <v>44784</v>
      </c>
      <c r="B234" s="3" t="n">
        <v>17659</v>
      </c>
      <c r="C234" s="3" t="n">
        <v>17659</v>
      </c>
      <c r="D234" s="3" t="n">
        <v>1320.32</v>
      </c>
      <c r="E234" s="3" t="n">
        <v>1289.95</v>
      </c>
      <c r="F234" s="4">
        <f>C234/C233-1</f>
        <v/>
      </c>
      <c r="G234" s="4">
        <f>E234/E233-1</f>
        <v/>
      </c>
    </row>
    <row r="235">
      <c r="A235" s="2" t="n">
        <v>44785</v>
      </c>
      <c r="B235" s="3" t="n">
        <v>17698.15</v>
      </c>
      <c r="C235" s="3" t="n">
        <v>17698.15</v>
      </c>
      <c r="D235" s="3" t="n">
        <v>1311.25</v>
      </c>
      <c r="E235" s="3" t="n">
        <v>1281.08</v>
      </c>
      <c r="F235" s="4">
        <f>C235/C234-1</f>
        <v/>
      </c>
      <c r="G235" s="4">
        <f>E235/E234-1</f>
        <v/>
      </c>
    </row>
    <row r="236">
      <c r="A236" s="2" t="n">
        <v>44789</v>
      </c>
      <c r="B236" s="3" t="n">
        <v>17825.25</v>
      </c>
      <c r="C236" s="3" t="n">
        <v>17825.25</v>
      </c>
      <c r="D236" s="3" t="n">
        <v>1332.88</v>
      </c>
      <c r="E236" s="3" t="n">
        <v>1302.21</v>
      </c>
      <c r="F236" s="4">
        <f>C236/C235-1</f>
        <v/>
      </c>
      <c r="G236" s="4">
        <f>E236/E235-1</f>
        <v/>
      </c>
    </row>
    <row r="237">
      <c r="A237" s="2" t="n">
        <v>44790</v>
      </c>
      <c r="B237" s="3" t="n">
        <v>17944.25</v>
      </c>
      <c r="C237" s="3" t="n">
        <v>17944.25</v>
      </c>
      <c r="D237" s="3" t="n">
        <v>1358.15</v>
      </c>
      <c r="E237" s="3" t="n">
        <v>1326.9</v>
      </c>
      <c r="F237" s="4">
        <f>C237/C236-1</f>
        <v/>
      </c>
      <c r="G237" s="4">
        <f>E237/E236-1</f>
        <v/>
      </c>
    </row>
    <row r="238">
      <c r="A238" s="2" t="n">
        <v>44791</v>
      </c>
      <c r="B238" s="3" t="n">
        <v>17956.5</v>
      </c>
      <c r="C238" s="3" t="n">
        <v>17956.5</v>
      </c>
      <c r="D238" s="3" t="n">
        <v>1361.62</v>
      </c>
      <c r="E238" s="3" t="n">
        <v>1330.3</v>
      </c>
      <c r="F238" s="4">
        <f>C238/C237-1</f>
        <v/>
      </c>
      <c r="G238" s="4">
        <f>E238/E237-1</f>
        <v/>
      </c>
    </row>
    <row r="239">
      <c r="A239" s="2" t="n">
        <v>44792</v>
      </c>
      <c r="B239" s="3" t="n">
        <v>17758.45</v>
      </c>
      <c r="C239" s="3" t="n">
        <v>17758.45</v>
      </c>
      <c r="D239" s="3" t="n">
        <v>1360.4</v>
      </c>
      <c r="E239" s="3" t="n">
        <v>1329.1</v>
      </c>
      <c r="F239" s="4">
        <f>C239/C238-1</f>
        <v/>
      </c>
      <c r="G239" s="4">
        <f>E239/E238-1</f>
        <v/>
      </c>
    </row>
    <row r="240">
      <c r="A240" s="2" t="n">
        <v>44795</v>
      </c>
      <c r="B240" s="3" t="n">
        <v>17490.7</v>
      </c>
      <c r="C240" s="3" t="n">
        <v>17490.7</v>
      </c>
      <c r="D240" s="3" t="n">
        <v>1340.07</v>
      </c>
      <c r="E240" s="3" t="n">
        <v>1309.25</v>
      </c>
      <c r="F240" s="4">
        <f>C240/C239-1</f>
        <v/>
      </c>
      <c r="G240" s="4">
        <f>E240/E239-1</f>
        <v/>
      </c>
    </row>
    <row r="241">
      <c r="A241" s="2" t="n">
        <v>44796</v>
      </c>
      <c r="B241" s="3" t="n">
        <v>17577.5</v>
      </c>
      <c r="C241" s="3" t="n">
        <v>17577.5</v>
      </c>
      <c r="D241" s="3" t="n">
        <v>1338.93</v>
      </c>
      <c r="E241" s="3" t="n">
        <v>1308.12</v>
      </c>
      <c r="F241" s="4">
        <f>C241/C240-1</f>
        <v/>
      </c>
      <c r="G241" s="4">
        <f>E241/E240-1</f>
        <v/>
      </c>
    </row>
    <row r="242">
      <c r="A242" s="2" t="n">
        <v>44797</v>
      </c>
      <c r="B242" s="3" t="n">
        <v>17604.95</v>
      </c>
      <c r="C242" s="3" t="n">
        <v>17604.95</v>
      </c>
      <c r="D242" s="3" t="n">
        <v>1335.38</v>
      </c>
      <c r="E242" s="3" t="n">
        <v>1304.65</v>
      </c>
      <c r="F242" s="4">
        <f>C242/C241-1</f>
        <v/>
      </c>
      <c r="G242" s="4">
        <f>E242/E241-1</f>
        <v/>
      </c>
    </row>
    <row r="243">
      <c r="A243" s="2" t="n">
        <v>44798</v>
      </c>
      <c r="B243" s="3" t="n">
        <v>17522.45</v>
      </c>
      <c r="C243" s="3" t="n">
        <v>17522.45</v>
      </c>
      <c r="D243" s="3" t="n">
        <v>1331.62</v>
      </c>
      <c r="E243" s="3" t="n">
        <v>1300.99</v>
      </c>
      <c r="F243" s="4">
        <f>C243/C242-1</f>
        <v/>
      </c>
      <c r="G243" s="4">
        <f>E243/E242-1</f>
        <v/>
      </c>
    </row>
    <row r="244">
      <c r="A244" s="2" t="n">
        <v>44799</v>
      </c>
      <c r="B244" s="3" t="n">
        <v>17558.9</v>
      </c>
      <c r="C244" s="3" t="n">
        <v>17558.9</v>
      </c>
      <c r="D244" s="3" t="n">
        <v>1333.45</v>
      </c>
      <c r="E244" s="3" t="n">
        <v>1302.77</v>
      </c>
      <c r="F244" s="4">
        <f>C244/C243-1</f>
        <v/>
      </c>
      <c r="G244" s="4">
        <f>E244/E243-1</f>
        <v/>
      </c>
    </row>
    <row r="245">
      <c r="A245" s="2" t="n">
        <v>44802</v>
      </c>
      <c r="B245" s="3" t="n">
        <v>17312.9</v>
      </c>
      <c r="C245" s="3" t="n">
        <v>17312.9</v>
      </c>
      <c r="D245" s="3" t="n">
        <v>1350.18</v>
      </c>
      <c r="E245" s="3" t="n">
        <v>1319.11</v>
      </c>
      <c r="F245" s="4">
        <f>C245/C244-1</f>
        <v/>
      </c>
      <c r="G245" s="4">
        <f>E245/E244-1</f>
        <v/>
      </c>
    </row>
    <row r="246">
      <c r="A246" s="2" t="n">
        <v>44803</v>
      </c>
      <c r="B246" s="3" t="n">
        <v>17759.3</v>
      </c>
      <c r="C246" s="3" t="n">
        <v>17759.3</v>
      </c>
      <c r="D246" s="3" t="n">
        <v>1368.15</v>
      </c>
      <c r="E246" s="3" t="n">
        <v>1336.67</v>
      </c>
      <c r="F246" s="4">
        <f>C246/C245-1</f>
        <v/>
      </c>
      <c r="G246" s="4">
        <f>E246/E245-1</f>
        <v/>
      </c>
    </row>
    <row r="247">
      <c r="A247" s="2" t="n">
        <v>44805</v>
      </c>
      <c r="B247" s="3" t="n">
        <v>17542.8</v>
      </c>
      <c r="C247" s="3" t="n">
        <v>17542.8</v>
      </c>
      <c r="D247" s="3" t="n">
        <v>1410.15</v>
      </c>
      <c r="E247" s="3" t="n">
        <v>1377.71</v>
      </c>
      <c r="F247" s="4">
        <f>C247/C246-1</f>
        <v/>
      </c>
      <c r="G247" s="4">
        <f>E247/E246-1</f>
        <v/>
      </c>
    </row>
    <row r="248">
      <c r="A248" s="2" t="n">
        <v>44806</v>
      </c>
      <c r="B248" s="3" t="n">
        <v>17539.45</v>
      </c>
      <c r="C248" s="3" t="n">
        <v>17539.45</v>
      </c>
      <c r="D248" s="3" t="n">
        <v>1433.35</v>
      </c>
      <c r="E248" s="3" t="n">
        <v>1400.37</v>
      </c>
      <c r="F248" s="4">
        <f>C248/C247-1</f>
        <v/>
      </c>
      <c r="G248" s="4">
        <f>E248/E247-1</f>
        <v/>
      </c>
    </row>
    <row r="249">
      <c r="A249" s="2" t="n">
        <v>44809</v>
      </c>
      <c r="B249" s="3" t="n">
        <v>17665.8</v>
      </c>
      <c r="C249" s="3" t="n">
        <v>17665.8</v>
      </c>
      <c r="D249" s="3" t="n">
        <v>1416.38</v>
      </c>
      <c r="E249" s="3" t="n">
        <v>1383.79</v>
      </c>
      <c r="F249" s="4">
        <f>C249/C248-1</f>
        <v/>
      </c>
      <c r="G249" s="4">
        <f>E249/E248-1</f>
        <v/>
      </c>
    </row>
    <row r="250">
      <c r="A250" s="2" t="n">
        <v>44810</v>
      </c>
      <c r="B250" s="3" t="n">
        <v>17655.6</v>
      </c>
      <c r="C250" s="3" t="n">
        <v>17655.6</v>
      </c>
      <c r="D250" s="3" t="n">
        <v>1407.9</v>
      </c>
      <c r="E250" s="3" t="n">
        <v>1375.51</v>
      </c>
      <c r="F250" s="4">
        <f>C250/C249-1</f>
        <v/>
      </c>
      <c r="G250" s="4">
        <f>E250/E249-1</f>
        <v/>
      </c>
    </row>
    <row r="251">
      <c r="A251" s="2" t="n">
        <v>44811</v>
      </c>
      <c r="B251" s="3" t="n">
        <v>17624.4</v>
      </c>
      <c r="C251" s="3" t="n">
        <v>17624.4</v>
      </c>
      <c r="D251" s="3" t="n">
        <v>1401.93</v>
      </c>
      <c r="E251" s="3" t="n">
        <v>1369.67</v>
      </c>
      <c r="F251" s="4">
        <f>C251/C250-1</f>
        <v/>
      </c>
      <c r="G251" s="4">
        <f>E251/E250-1</f>
        <v/>
      </c>
    </row>
    <row r="252">
      <c r="A252" s="2" t="n">
        <v>44812</v>
      </c>
      <c r="B252" s="3" t="n">
        <v>17798.75</v>
      </c>
      <c r="C252" s="3" t="n">
        <v>17798.75</v>
      </c>
      <c r="D252" s="3" t="n">
        <v>1434.82</v>
      </c>
      <c r="E252" s="3" t="n">
        <v>1401.82</v>
      </c>
      <c r="F252" s="4">
        <f>C252/C251-1</f>
        <v/>
      </c>
      <c r="G252" s="4">
        <f>E252/E251-1</f>
        <v/>
      </c>
    </row>
    <row r="253">
      <c r="A253" s="2" t="n">
        <v>44813</v>
      </c>
      <c r="B253" s="3" t="n">
        <v>17833.35</v>
      </c>
      <c r="C253" s="3" t="n">
        <v>17833.35</v>
      </c>
      <c r="D253" s="3" t="n">
        <v>1422.07</v>
      </c>
      <c r="E253" s="3" t="n">
        <v>1389.36</v>
      </c>
      <c r="F253" s="4">
        <f>C253/C252-1</f>
        <v/>
      </c>
      <c r="G253" s="4">
        <f>E253/E252-1</f>
        <v/>
      </c>
    </row>
    <row r="254">
      <c r="A254" s="2" t="n">
        <v>44816</v>
      </c>
      <c r="B254" s="3" t="n">
        <v>17936.35</v>
      </c>
      <c r="C254" s="3" t="n">
        <v>17936.35</v>
      </c>
      <c r="D254" s="3" t="n">
        <v>1428.8</v>
      </c>
      <c r="E254" s="3" t="n">
        <v>1395.93</v>
      </c>
      <c r="F254" s="4">
        <f>C254/C253-1</f>
        <v/>
      </c>
      <c r="G254" s="4">
        <f>E254/E253-1</f>
        <v/>
      </c>
    </row>
    <row r="255">
      <c r="A255" s="2" t="n">
        <v>44817</v>
      </c>
      <c r="B255" s="3" t="n">
        <v>18070.05</v>
      </c>
      <c r="C255" s="3" t="n">
        <v>18070.05</v>
      </c>
      <c r="D255" s="3" t="n">
        <v>1428.72</v>
      </c>
      <c r="E255" s="3" t="n">
        <v>1395.86</v>
      </c>
      <c r="F255" s="4">
        <f>C255/C254-1</f>
        <v/>
      </c>
      <c r="G255" s="4">
        <f>E255/E254-1</f>
        <v/>
      </c>
    </row>
    <row r="256">
      <c r="A256" s="2" t="n">
        <v>44818</v>
      </c>
      <c r="B256" s="3" t="n">
        <v>18003.75</v>
      </c>
      <c r="C256" s="3" t="n">
        <v>18003.75</v>
      </c>
      <c r="D256" s="3" t="n">
        <v>1434.57</v>
      </c>
      <c r="E256" s="3" t="n">
        <v>1401.57</v>
      </c>
      <c r="F256" s="4">
        <f>C256/C255-1</f>
        <v/>
      </c>
      <c r="G256" s="4">
        <f>E256/E255-1</f>
        <v/>
      </c>
    </row>
    <row r="257">
      <c r="A257" s="2" t="n">
        <v>44819</v>
      </c>
      <c r="B257" s="3" t="n">
        <v>17877.4</v>
      </c>
      <c r="C257" s="3" t="n">
        <v>17877.4</v>
      </c>
      <c r="D257" s="3" t="n">
        <v>1450.93</v>
      </c>
      <c r="E257" s="3" t="n">
        <v>1417.55</v>
      </c>
      <c r="F257" s="4">
        <f>C257/C256-1</f>
        <v/>
      </c>
      <c r="G257" s="4">
        <f>E257/E256-1</f>
        <v/>
      </c>
    </row>
    <row r="258">
      <c r="A258" s="2" t="n">
        <v>44820</v>
      </c>
      <c r="B258" s="3" t="n">
        <v>17530.85</v>
      </c>
      <c r="C258" s="3" t="n">
        <v>17530.85</v>
      </c>
      <c r="D258" s="3" t="n">
        <v>1399.53</v>
      </c>
      <c r="E258" s="3" t="n">
        <v>1367.33</v>
      </c>
      <c r="F258" s="4">
        <f>C258/C257-1</f>
        <v/>
      </c>
      <c r="G258" s="4">
        <f>E258/E257-1</f>
        <v/>
      </c>
    </row>
    <row r="259">
      <c r="A259" s="2" t="n">
        <v>44823</v>
      </c>
      <c r="B259" s="3" t="n">
        <v>17622.25</v>
      </c>
      <c r="C259" s="3" t="n">
        <v>17622.25</v>
      </c>
      <c r="D259" s="3" t="n">
        <v>1403.4</v>
      </c>
      <c r="E259" s="3" t="n">
        <v>1371.11</v>
      </c>
      <c r="F259" s="4">
        <f>C259/C258-1</f>
        <v/>
      </c>
      <c r="G259" s="4">
        <f>E259/E258-1</f>
        <v/>
      </c>
    </row>
    <row r="260">
      <c r="A260" s="2" t="n">
        <v>44824</v>
      </c>
      <c r="B260" s="3" t="n">
        <v>17816.25</v>
      </c>
      <c r="C260" s="3" t="n">
        <v>17816.25</v>
      </c>
      <c r="D260" s="3" t="n">
        <v>1416.95</v>
      </c>
      <c r="E260" s="3" t="n">
        <v>1384.35</v>
      </c>
      <c r="F260" s="4">
        <f>C260/C259-1</f>
        <v/>
      </c>
      <c r="G260" s="4">
        <f>E260/E259-1</f>
        <v/>
      </c>
    </row>
    <row r="261">
      <c r="A261" s="2" t="n">
        <v>44825</v>
      </c>
      <c r="B261" s="3" t="n">
        <v>17718.35</v>
      </c>
      <c r="C261" s="3" t="n">
        <v>17718.35</v>
      </c>
      <c r="D261" s="3" t="n">
        <v>1409.38</v>
      </c>
      <c r="E261" s="3" t="n">
        <v>1376.95</v>
      </c>
      <c r="F261" s="4">
        <f>C261/C260-1</f>
        <v/>
      </c>
      <c r="G261" s="4">
        <f>E261/E260-1</f>
        <v/>
      </c>
    </row>
    <row r="262">
      <c r="A262" s="2" t="n">
        <v>44826</v>
      </c>
      <c r="B262" s="3" t="n">
        <v>17629.8</v>
      </c>
      <c r="C262" s="3" t="n">
        <v>17629.8</v>
      </c>
      <c r="D262" s="3" t="n">
        <v>1404.97</v>
      </c>
      <c r="E262" s="3" t="n">
        <v>1372.65</v>
      </c>
      <c r="F262" s="4">
        <f>C262/C261-1</f>
        <v/>
      </c>
      <c r="G262" s="4">
        <f>E262/E261-1</f>
        <v/>
      </c>
    </row>
    <row r="263">
      <c r="A263" s="2" t="n">
        <v>44827</v>
      </c>
      <c r="B263" s="3" t="n">
        <v>17327.35</v>
      </c>
      <c r="C263" s="3" t="n">
        <v>17327.35</v>
      </c>
      <c r="D263" s="3" t="n">
        <v>1400.32</v>
      </c>
      <c r="E263" s="3" t="n">
        <v>1368.11</v>
      </c>
      <c r="F263" s="4">
        <f>C263/C262-1</f>
        <v/>
      </c>
      <c r="G263" s="4">
        <f>E263/E262-1</f>
        <v/>
      </c>
    </row>
    <row r="264">
      <c r="A264" s="2" t="n">
        <v>44830</v>
      </c>
      <c r="B264" s="3" t="n">
        <v>17016.3</v>
      </c>
      <c r="C264" s="3" t="n">
        <v>17016.3</v>
      </c>
      <c r="D264" s="3" t="n">
        <v>1401.1</v>
      </c>
      <c r="E264" s="3" t="n">
        <v>1368.87</v>
      </c>
      <c r="F264" s="4">
        <f>C264/C263-1</f>
        <v/>
      </c>
      <c r="G264" s="4">
        <f>E264/E263-1</f>
        <v/>
      </c>
    </row>
    <row r="265">
      <c r="A265" s="2" t="n">
        <v>44831</v>
      </c>
      <c r="B265" s="3" t="n">
        <v>17007.4</v>
      </c>
      <c r="C265" s="3" t="n">
        <v>17007.4</v>
      </c>
      <c r="D265" s="3" t="n">
        <v>1402.15</v>
      </c>
      <c r="E265" s="3" t="n">
        <v>1369.89</v>
      </c>
      <c r="F265" s="4">
        <f>C265/C264-1</f>
        <v/>
      </c>
      <c r="G265" s="4">
        <f>E265/E264-1</f>
        <v/>
      </c>
    </row>
    <row r="266">
      <c r="A266" s="2" t="n">
        <v>44832</v>
      </c>
      <c r="B266" s="3" t="n">
        <v>16858.6</v>
      </c>
      <c r="C266" s="3" t="n">
        <v>16858.6</v>
      </c>
      <c r="D266" s="3" t="n">
        <v>1384.88</v>
      </c>
      <c r="E266" s="3" t="n">
        <v>1353.02</v>
      </c>
      <c r="F266" s="4">
        <f>C266/C265-1</f>
        <v/>
      </c>
      <c r="G266" s="4">
        <f>E266/E265-1</f>
        <v/>
      </c>
    </row>
    <row r="267">
      <c r="A267" s="2" t="n">
        <v>44833</v>
      </c>
      <c r="B267" s="3" t="n">
        <v>16818.1</v>
      </c>
      <c r="C267" s="3" t="n">
        <v>16818.1</v>
      </c>
      <c r="D267" s="3" t="n">
        <v>1352.1</v>
      </c>
      <c r="E267" s="3" t="n">
        <v>1320.99</v>
      </c>
      <c r="F267" s="4">
        <f>C267/C266-1</f>
        <v/>
      </c>
      <c r="G267" s="4">
        <f>E267/E266-1</f>
        <v/>
      </c>
    </row>
    <row r="268">
      <c r="A268" s="2" t="n">
        <v>44834</v>
      </c>
      <c r="B268" s="3" t="n">
        <v>17094.35</v>
      </c>
      <c r="C268" s="3" t="n">
        <v>17094.35</v>
      </c>
      <c r="D268" s="3" t="n">
        <v>1345.15</v>
      </c>
      <c r="E268" s="3" t="n">
        <v>1314.2</v>
      </c>
      <c r="F268" s="4">
        <f>C268/C267-1</f>
        <v/>
      </c>
      <c r="G268" s="4">
        <f>E268/E267-1</f>
        <v/>
      </c>
    </row>
    <row r="269">
      <c r="A269" s="2" t="n">
        <v>44837</v>
      </c>
      <c r="B269" s="3" t="n">
        <v>16887.35</v>
      </c>
      <c r="C269" s="3" t="n">
        <v>16887.35</v>
      </c>
      <c r="D269" s="3" t="n">
        <v>1328.12</v>
      </c>
      <c r="E269" s="3" t="n">
        <v>1297.57</v>
      </c>
      <c r="F269" s="4">
        <f>C269/C268-1</f>
        <v/>
      </c>
      <c r="G269" s="4">
        <f>E269/E268-1</f>
        <v/>
      </c>
    </row>
    <row r="270">
      <c r="A270" s="2" t="n">
        <v>44838</v>
      </c>
      <c r="B270" s="3" t="n">
        <v>17274.3</v>
      </c>
      <c r="C270" s="3" t="n">
        <v>17274.3</v>
      </c>
      <c r="D270" s="3" t="n">
        <v>1343.32</v>
      </c>
      <c r="E270" s="3" t="n">
        <v>1312.42</v>
      </c>
      <c r="F270" s="4">
        <f>C270/C269-1</f>
        <v/>
      </c>
      <c r="G270" s="4">
        <f>E270/E269-1</f>
        <v/>
      </c>
    </row>
    <row r="271">
      <c r="A271" s="2" t="n">
        <v>44840</v>
      </c>
      <c r="B271" s="3" t="n">
        <v>17331.8</v>
      </c>
      <c r="C271" s="3" t="n">
        <v>17331.8</v>
      </c>
      <c r="D271" s="3" t="n">
        <v>1330.97</v>
      </c>
      <c r="E271" s="3" t="n">
        <v>1300.35</v>
      </c>
      <c r="F271" s="4">
        <f>C271/C270-1</f>
        <v/>
      </c>
      <c r="G271" s="4">
        <f>E271/E270-1</f>
        <v/>
      </c>
    </row>
    <row r="272">
      <c r="A272" s="2" t="n">
        <v>44841</v>
      </c>
      <c r="B272" s="3" t="n">
        <v>17314.65</v>
      </c>
      <c r="C272" s="3" t="n">
        <v>17314.65</v>
      </c>
      <c r="D272" s="3" t="n">
        <v>1331.3</v>
      </c>
      <c r="E272" s="3" t="n">
        <v>1300.67</v>
      </c>
      <c r="F272" s="4">
        <f>C272/C271-1</f>
        <v/>
      </c>
      <c r="G272" s="4">
        <f>E272/E271-1</f>
        <v/>
      </c>
    </row>
    <row r="273">
      <c r="A273" s="2" t="n">
        <v>44844</v>
      </c>
      <c r="B273" s="3" t="n">
        <v>17241</v>
      </c>
      <c r="C273" s="3" t="n">
        <v>17241</v>
      </c>
      <c r="D273" s="3" t="n">
        <v>1322.72</v>
      </c>
      <c r="E273" s="3" t="n">
        <v>1292.29</v>
      </c>
      <c r="F273" s="4">
        <f>C273/C272-1</f>
        <v/>
      </c>
      <c r="G273" s="4">
        <f>E273/E272-1</f>
        <v/>
      </c>
    </row>
    <row r="274">
      <c r="A274" s="2" t="n">
        <v>44845</v>
      </c>
      <c r="B274" s="3" t="n">
        <v>16983.55</v>
      </c>
      <c r="C274" s="3" t="n">
        <v>16983.55</v>
      </c>
      <c r="D274" s="3" t="n">
        <v>1306</v>
      </c>
      <c r="E274" s="3" t="n">
        <v>1275.95</v>
      </c>
      <c r="F274" s="4">
        <f>C274/C273-1</f>
        <v/>
      </c>
      <c r="G274" s="4">
        <f>E274/E273-1</f>
        <v/>
      </c>
    </row>
    <row r="275">
      <c r="A275" s="2" t="n">
        <v>44846</v>
      </c>
      <c r="B275" s="3" t="n">
        <v>17123.6</v>
      </c>
      <c r="C275" s="3" t="n">
        <v>17123.6</v>
      </c>
      <c r="D275" s="3" t="n">
        <v>1327.57</v>
      </c>
      <c r="E275" s="3" t="n">
        <v>1297.03</v>
      </c>
      <c r="F275" s="4">
        <f>C275/C274-1</f>
        <v/>
      </c>
      <c r="G275" s="4">
        <f>E275/E274-1</f>
        <v/>
      </c>
    </row>
    <row r="276">
      <c r="A276" s="2" t="n">
        <v>44847</v>
      </c>
      <c r="B276" s="3" t="n">
        <v>17014.35</v>
      </c>
      <c r="C276" s="3" t="n">
        <v>17014.35</v>
      </c>
      <c r="D276" s="3" t="n">
        <v>1310.8</v>
      </c>
      <c r="E276" s="3" t="n">
        <v>1280.64</v>
      </c>
      <c r="F276" s="4">
        <f>C276/C275-1</f>
        <v/>
      </c>
      <c r="G276" s="4">
        <f>E276/E275-1</f>
        <v/>
      </c>
    </row>
    <row r="277">
      <c r="A277" s="2" t="n">
        <v>44848</v>
      </c>
      <c r="B277" s="3" t="n">
        <v>17185.7</v>
      </c>
      <c r="C277" s="3" t="n">
        <v>17185.7</v>
      </c>
      <c r="D277" s="3" t="n">
        <v>1309.88</v>
      </c>
      <c r="E277" s="3" t="n">
        <v>1279.74</v>
      </c>
      <c r="F277" s="4">
        <f>C277/C276-1</f>
        <v/>
      </c>
      <c r="G277" s="4">
        <f>E277/E276-1</f>
        <v/>
      </c>
    </row>
    <row r="278">
      <c r="A278" s="2" t="n">
        <v>44851</v>
      </c>
      <c r="B278" s="3" t="n">
        <v>17311.8</v>
      </c>
      <c r="C278" s="3" t="n">
        <v>17311.8</v>
      </c>
      <c r="D278" s="3" t="n">
        <v>1345.7</v>
      </c>
      <c r="E278" s="3" t="n">
        <v>1314.74</v>
      </c>
      <c r="F278" s="4">
        <f>C278/C277-1</f>
        <v/>
      </c>
      <c r="G278" s="4">
        <f>E278/E277-1</f>
        <v/>
      </c>
    </row>
    <row r="279">
      <c r="A279" s="2" t="n">
        <v>44852</v>
      </c>
      <c r="B279" s="3" t="n">
        <v>17486.95</v>
      </c>
      <c r="C279" s="3" t="n">
        <v>17486.95</v>
      </c>
      <c r="D279" s="3" t="n">
        <v>1356.32</v>
      </c>
      <c r="E279" s="3" t="n">
        <v>1325.12</v>
      </c>
      <c r="F279" s="4">
        <f>C279/C278-1</f>
        <v/>
      </c>
      <c r="G279" s="4">
        <f>E279/E278-1</f>
        <v/>
      </c>
    </row>
    <row r="280">
      <c r="A280" s="2" t="n">
        <v>44853</v>
      </c>
      <c r="B280" s="3" t="n">
        <v>17512.25</v>
      </c>
      <c r="C280" s="3" t="n">
        <v>17512.25</v>
      </c>
      <c r="D280" s="3" t="n">
        <v>1332.47</v>
      </c>
      <c r="E280" s="3" t="n">
        <v>1301.82</v>
      </c>
      <c r="F280" s="4">
        <f>C280/C279-1</f>
        <v/>
      </c>
      <c r="G280" s="4">
        <f>E280/E279-1</f>
        <v/>
      </c>
    </row>
    <row r="281">
      <c r="A281" s="2" t="n">
        <v>44854</v>
      </c>
      <c r="B281" s="3" t="n">
        <v>17563.95</v>
      </c>
      <c r="C281" s="3" t="n">
        <v>17563.95</v>
      </c>
      <c r="D281" s="3" t="n">
        <v>1344.88</v>
      </c>
      <c r="E281" s="3" t="n">
        <v>1313.94</v>
      </c>
      <c r="F281" s="4">
        <f>C281/C280-1</f>
        <v/>
      </c>
      <c r="G281" s="4">
        <f>E281/E280-1</f>
        <v/>
      </c>
    </row>
    <row r="282">
      <c r="A282" s="2" t="n">
        <v>44855</v>
      </c>
      <c r="B282" s="3" t="n">
        <v>17576.3</v>
      </c>
      <c r="C282" s="3" t="n">
        <v>17576.3</v>
      </c>
      <c r="D282" s="3" t="n">
        <v>1318.85</v>
      </c>
      <c r="E282" s="3" t="n">
        <v>1288.51</v>
      </c>
      <c r="F282" s="4">
        <f>C282/C281-1</f>
        <v/>
      </c>
      <c r="G282" s="4">
        <f>E282/E281-1</f>
        <v/>
      </c>
    </row>
    <row r="283">
      <c r="A283" s="2" t="n">
        <v>44858</v>
      </c>
      <c r="B283" s="3" t="n">
        <v>17730.75</v>
      </c>
      <c r="C283" s="3" t="n">
        <v>17730.75</v>
      </c>
      <c r="D283" s="3" t="n">
        <v>1321.75</v>
      </c>
      <c r="E283" s="3" t="n">
        <v>1291.34</v>
      </c>
      <c r="F283" s="4">
        <f>C283/C282-1</f>
        <v/>
      </c>
      <c r="G283" s="4">
        <f>E283/E282-1</f>
        <v/>
      </c>
    </row>
    <row r="284">
      <c r="A284" s="2" t="n">
        <v>44859</v>
      </c>
      <c r="B284" s="3" t="n">
        <v>17656.35</v>
      </c>
      <c r="C284" s="3" t="n">
        <v>17656.35</v>
      </c>
      <c r="D284" s="3" t="n">
        <v>1309.15</v>
      </c>
      <c r="E284" s="3" t="n">
        <v>1279.03</v>
      </c>
      <c r="F284" s="4">
        <f>C284/C283-1</f>
        <v/>
      </c>
      <c r="G284" s="4">
        <f>E284/E283-1</f>
        <v/>
      </c>
    </row>
    <row r="285">
      <c r="A285" s="2" t="n">
        <v>44861</v>
      </c>
      <c r="B285" s="3" t="n">
        <v>17736.95</v>
      </c>
      <c r="C285" s="3" t="n">
        <v>17736.95</v>
      </c>
      <c r="D285" s="3" t="n">
        <v>1282.2</v>
      </c>
      <c r="E285" s="3" t="n">
        <v>1252.7</v>
      </c>
      <c r="F285" s="4">
        <f>C285/C284-1</f>
        <v/>
      </c>
      <c r="G285" s="4">
        <f>E285/E284-1</f>
        <v/>
      </c>
    </row>
    <row r="286">
      <c r="A286" s="2" t="n">
        <v>44862</v>
      </c>
      <c r="B286" s="3" t="n">
        <v>17786.8</v>
      </c>
      <c r="C286" s="3" t="n">
        <v>17786.8</v>
      </c>
      <c r="D286" s="3" t="n">
        <v>1280.28</v>
      </c>
      <c r="E286" s="3" t="n">
        <v>1250.82</v>
      </c>
      <c r="F286" s="4">
        <f>C286/C285-1</f>
        <v/>
      </c>
      <c r="G286" s="4">
        <f>E286/E285-1</f>
        <v/>
      </c>
    </row>
    <row r="287">
      <c r="A287" s="2" t="n">
        <v>44865</v>
      </c>
      <c r="B287" s="3" t="n">
        <v>18012.2</v>
      </c>
      <c r="C287" s="3" t="n">
        <v>18012.2</v>
      </c>
      <c r="D287" s="3" t="n">
        <v>1292.2</v>
      </c>
      <c r="E287" s="3" t="n">
        <v>1262.47</v>
      </c>
      <c r="F287" s="4">
        <f>C287/C286-1</f>
        <v/>
      </c>
      <c r="G287" s="4">
        <f>E287/E286-1</f>
        <v/>
      </c>
    </row>
    <row r="288">
      <c r="A288" s="2" t="n">
        <v>44866</v>
      </c>
      <c r="B288" s="3" t="n">
        <v>18145.4</v>
      </c>
      <c r="C288" s="3" t="n">
        <v>18145.4</v>
      </c>
      <c r="D288" s="3" t="n">
        <v>1321.88</v>
      </c>
      <c r="E288" s="3" t="n">
        <v>1291.46</v>
      </c>
      <c r="F288" s="4">
        <f>C288/C287-1</f>
        <v/>
      </c>
      <c r="G288" s="4">
        <f>E288/E287-1</f>
        <v/>
      </c>
    </row>
    <row r="289">
      <c r="A289" s="2" t="n">
        <v>44867</v>
      </c>
      <c r="B289" s="3" t="n">
        <v>18082.85</v>
      </c>
      <c r="C289" s="3" t="n">
        <v>18082.85</v>
      </c>
      <c r="D289" s="3" t="n">
        <v>1317.22</v>
      </c>
      <c r="E289" s="3" t="n">
        <v>1286.92</v>
      </c>
      <c r="F289" s="4">
        <f>C289/C288-1</f>
        <v/>
      </c>
      <c r="G289" s="4">
        <f>E289/E288-1</f>
        <v/>
      </c>
    </row>
    <row r="290">
      <c r="A290" s="2" t="n">
        <v>44868</v>
      </c>
      <c r="B290" s="3" t="n">
        <v>18052.7</v>
      </c>
      <c r="C290" s="3" t="n">
        <v>18052.7</v>
      </c>
      <c r="D290" s="3" t="n">
        <v>1321.78</v>
      </c>
      <c r="E290" s="3" t="n">
        <v>1291.37</v>
      </c>
      <c r="F290" s="4">
        <f>C290/C289-1</f>
        <v/>
      </c>
      <c r="G290" s="4">
        <f>E290/E289-1</f>
        <v/>
      </c>
    </row>
    <row r="291">
      <c r="A291" s="2" t="n">
        <v>44869</v>
      </c>
      <c r="B291" s="3" t="n">
        <v>18117.15</v>
      </c>
      <c r="C291" s="3" t="n">
        <v>18117.15</v>
      </c>
      <c r="D291" s="3" t="n">
        <v>1324</v>
      </c>
      <c r="E291" s="3" t="n">
        <v>1293.54</v>
      </c>
      <c r="F291" s="4">
        <f>C291/C290-1</f>
        <v/>
      </c>
      <c r="G291" s="4">
        <f>E291/E290-1</f>
        <v/>
      </c>
    </row>
    <row r="292">
      <c r="A292" s="2" t="n">
        <v>44872</v>
      </c>
      <c r="B292" s="3" t="n">
        <v>18202.8</v>
      </c>
      <c r="C292" s="3" t="n">
        <v>18202.8</v>
      </c>
      <c r="D292" s="3" t="n">
        <v>1314.32</v>
      </c>
      <c r="E292" s="3" t="n">
        <v>1284.09</v>
      </c>
      <c r="F292" s="4">
        <f>C292/C291-1</f>
        <v/>
      </c>
      <c r="G292" s="4">
        <f>E292/E291-1</f>
        <v/>
      </c>
    </row>
    <row r="293">
      <c r="A293" s="2" t="n">
        <v>44874</v>
      </c>
      <c r="B293" s="3" t="n">
        <v>18157</v>
      </c>
      <c r="C293" s="3" t="n">
        <v>18157</v>
      </c>
      <c r="D293" s="3" t="n">
        <v>1326.12</v>
      </c>
      <c r="E293" s="3" t="n">
        <v>1295.62</v>
      </c>
      <c r="F293" s="4">
        <f>C293/C292-1</f>
        <v/>
      </c>
      <c r="G293" s="4">
        <f>E293/E292-1</f>
        <v/>
      </c>
    </row>
    <row r="294">
      <c r="A294" s="2" t="n">
        <v>44875</v>
      </c>
      <c r="B294" s="3" t="n">
        <v>18028.2</v>
      </c>
      <c r="C294" s="3" t="n">
        <v>18028.2</v>
      </c>
      <c r="D294" s="3" t="n">
        <v>1328.18</v>
      </c>
      <c r="E294" s="3" t="n">
        <v>1297.62</v>
      </c>
      <c r="F294" s="4">
        <f>C294/C293-1</f>
        <v/>
      </c>
      <c r="G294" s="4">
        <f>E294/E293-1</f>
        <v/>
      </c>
    </row>
    <row r="295">
      <c r="A295" s="2" t="n">
        <v>44876</v>
      </c>
      <c r="B295" s="3" t="n">
        <v>18349.7</v>
      </c>
      <c r="C295" s="3" t="n">
        <v>18349.7</v>
      </c>
      <c r="D295" s="3" t="n">
        <v>1330.6</v>
      </c>
      <c r="E295" s="3" t="n">
        <v>1299.99</v>
      </c>
      <c r="F295" s="4">
        <f>C295/C294-1</f>
        <v/>
      </c>
      <c r="G295" s="4">
        <f>E295/E294-1</f>
        <v/>
      </c>
    </row>
    <row r="296">
      <c r="A296" s="2" t="n">
        <v>44879</v>
      </c>
      <c r="B296" s="3" t="n">
        <v>18329.15</v>
      </c>
      <c r="C296" s="3" t="n">
        <v>18329.15</v>
      </c>
      <c r="D296" s="3" t="n">
        <v>1327.28</v>
      </c>
      <c r="E296" s="3" t="n">
        <v>1296.74</v>
      </c>
      <c r="F296" s="4">
        <f>C296/C295-1</f>
        <v/>
      </c>
      <c r="G296" s="4">
        <f>E296/E295-1</f>
        <v/>
      </c>
    </row>
    <row r="297">
      <c r="A297" s="2" t="n">
        <v>44880</v>
      </c>
      <c r="B297" s="3" t="n">
        <v>18403.4</v>
      </c>
      <c r="C297" s="3" t="n">
        <v>18403.4</v>
      </c>
      <c r="D297" s="3" t="n">
        <v>1337.5</v>
      </c>
      <c r="E297" s="3" t="n">
        <v>1306.73</v>
      </c>
      <c r="F297" s="4">
        <f>C297/C296-1</f>
        <v/>
      </c>
      <c r="G297" s="4">
        <f>E297/E296-1</f>
        <v/>
      </c>
    </row>
    <row r="298">
      <c r="A298" s="2" t="n">
        <v>44881</v>
      </c>
      <c r="B298" s="3" t="n">
        <v>18409.65</v>
      </c>
      <c r="C298" s="3" t="n">
        <v>18409.65</v>
      </c>
      <c r="D298" s="3" t="n">
        <v>1341.22</v>
      </c>
      <c r="E298" s="3" t="n">
        <v>1310.37</v>
      </c>
      <c r="F298" s="4">
        <f>C298/C297-1</f>
        <v/>
      </c>
      <c r="G298" s="4">
        <f>E298/E297-1</f>
        <v/>
      </c>
    </row>
    <row r="299">
      <c r="A299" s="2" t="n">
        <v>44882</v>
      </c>
      <c r="B299" s="3" t="n">
        <v>18343.9</v>
      </c>
      <c r="C299" s="3" t="n">
        <v>18343.9</v>
      </c>
      <c r="D299" s="3" t="n">
        <v>1346.6</v>
      </c>
      <c r="E299" s="3" t="n">
        <v>1315.62</v>
      </c>
      <c r="F299" s="4">
        <f>C299/C298-1</f>
        <v/>
      </c>
      <c r="G299" s="4">
        <f>E299/E298-1</f>
        <v/>
      </c>
    </row>
    <row r="300">
      <c r="A300" s="2" t="n">
        <v>44883</v>
      </c>
      <c r="B300" s="3" t="n">
        <v>18307.65</v>
      </c>
      <c r="C300" s="3" t="n">
        <v>18307.65</v>
      </c>
      <c r="D300" s="3" t="n">
        <v>1349.62</v>
      </c>
      <c r="E300" s="3" t="n">
        <v>1318.58</v>
      </c>
      <c r="F300" s="4">
        <f>C300/C299-1</f>
        <v/>
      </c>
      <c r="G300" s="4">
        <f>E300/E299-1</f>
        <v/>
      </c>
    </row>
    <row r="301">
      <c r="A301" s="2" t="n">
        <v>44886</v>
      </c>
      <c r="B301" s="3" t="n">
        <v>18159.95</v>
      </c>
      <c r="C301" s="3" t="n">
        <v>18159.95</v>
      </c>
      <c r="D301" s="3" t="n">
        <v>1331</v>
      </c>
      <c r="E301" s="3" t="n">
        <v>1300.38</v>
      </c>
      <c r="F301" s="4">
        <f>C301/C300-1</f>
        <v/>
      </c>
      <c r="G301" s="4">
        <f>E301/E300-1</f>
        <v/>
      </c>
    </row>
    <row r="302">
      <c r="A302" s="2" t="n">
        <v>44887</v>
      </c>
      <c r="B302" s="3" t="n">
        <v>18244.2</v>
      </c>
      <c r="C302" s="3" t="n">
        <v>18244.2</v>
      </c>
      <c r="D302" s="3" t="n">
        <v>1348.47</v>
      </c>
      <c r="E302" s="3" t="n">
        <v>1317.45</v>
      </c>
      <c r="F302" s="4">
        <f>C302/C301-1</f>
        <v/>
      </c>
      <c r="G302" s="4">
        <f>E302/E301-1</f>
        <v/>
      </c>
    </row>
    <row r="303">
      <c r="A303" s="2" t="n">
        <v>44888</v>
      </c>
      <c r="B303" s="3" t="n">
        <v>18267.25</v>
      </c>
      <c r="C303" s="3" t="n">
        <v>18267.25</v>
      </c>
      <c r="D303" s="3" t="n">
        <v>1348.22</v>
      </c>
      <c r="E303" s="3" t="n">
        <v>1317.21</v>
      </c>
      <c r="F303" s="4">
        <f>C303/C302-1</f>
        <v/>
      </c>
      <c r="G303" s="4">
        <f>E303/E302-1</f>
        <v/>
      </c>
    </row>
    <row r="304">
      <c r="A304" s="2" t="n">
        <v>44889</v>
      </c>
      <c r="B304" s="3" t="n">
        <v>18484.1</v>
      </c>
      <c r="C304" s="3" t="n">
        <v>18484.1</v>
      </c>
      <c r="D304" s="3" t="n">
        <v>1351.95</v>
      </c>
      <c r="E304" s="3" t="n">
        <v>1320.85</v>
      </c>
      <c r="F304" s="4">
        <f>C304/C303-1</f>
        <v/>
      </c>
      <c r="G304" s="4">
        <f>E304/E303-1</f>
        <v/>
      </c>
    </row>
    <row r="305">
      <c r="A305" s="2" t="n">
        <v>44890</v>
      </c>
      <c r="B305" s="3" t="n">
        <v>18512.75</v>
      </c>
      <c r="C305" s="3" t="n">
        <v>18512.75</v>
      </c>
      <c r="D305" s="3" t="n">
        <v>1331.05</v>
      </c>
      <c r="E305" s="3" t="n">
        <v>1300.43</v>
      </c>
      <c r="F305" s="4">
        <f>C305/C304-1</f>
        <v/>
      </c>
      <c r="G305" s="4">
        <f>E305/E304-1</f>
        <v/>
      </c>
    </row>
    <row r="306">
      <c r="A306" s="2" t="n">
        <v>44893</v>
      </c>
      <c r="B306" s="3" t="n">
        <v>18562.75</v>
      </c>
      <c r="C306" s="3" t="n">
        <v>18562.75</v>
      </c>
      <c r="D306" s="3" t="n">
        <v>1346.18</v>
      </c>
      <c r="E306" s="3" t="n">
        <v>1315.21</v>
      </c>
      <c r="F306" s="4">
        <f>C306/C305-1</f>
        <v/>
      </c>
      <c r="G306" s="4">
        <f>E306/E305-1</f>
        <v/>
      </c>
    </row>
    <row r="307">
      <c r="A307" s="2" t="n">
        <v>44894</v>
      </c>
      <c r="B307" s="3" t="n">
        <v>18618.05</v>
      </c>
      <c r="C307" s="3" t="n">
        <v>18618.05</v>
      </c>
      <c r="D307" s="3" t="n">
        <v>1363.97</v>
      </c>
      <c r="E307" s="3" t="n">
        <v>1332.6</v>
      </c>
      <c r="F307" s="4">
        <f>C307/C306-1</f>
        <v/>
      </c>
      <c r="G307" s="4">
        <f>E307/E306-1</f>
        <v/>
      </c>
    </row>
    <row r="308">
      <c r="A308" s="2" t="n">
        <v>44895</v>
      </c>
      <c r="B308" s="3" t="n">
        <v>18758.35</v>
      </c>
      <c r="C308" s="3" t="n">
        <v>18758.35</v>
      </c>
      <c r="D308" s="3" t="n">
        <v>1374.35</v>
      </c>
      <c r="E308" s="3" t="n">
        <v>1342.73</v>
      </c>
      <c r="F308" s="4">
        <f>C308/C307-1</f>
        <v/>
      </c>
      <c r="G308" s="4">
        <f>E308/E307-1</f>
        <v/>
      </c>
    </row>
    <row r="309">
      <c r="A309" s="2" t="n">
        <v>44896</v>
      </c>
      <c r="B309" s="3" t="n">
        <v>18812.5</v>
      </c>
      <c r="C309" s="3" t="n">
        <v>18812.5</v>
      </c>
      <c r="D309" s="3" t="n">
        <v>1366.78</v>
      </c>
      <c r="E309" s="3" t="n">
        <v>1335.33</v>
      </c>
      <c r="F309" s="4">
        <f>C309/C308-1</f>
        <v/>
      </c>
      <c r="G309" s="4">
        <f>E309/E308-1</f>
        <v/>
      </c>
    </row>
    <row r="310">
      <c r="A310" s="2" t="n">
        <v>44897</v>
      </c>
      <c r="B310" s="3" t="n">
        <v>18696.1</v>
      </c>
      <c r="C310" s="3" t="n">
        <v>18696.1</v>
      </c>
      <c r="D310" s="3" t="n">
        <v>1368.1</v>
      </c>
      <c r="E310" s="3" t="n">
        <v>1336.63</v>
      </c>
      <c r="F310" s="4">
        <f>C310/C309-1</f>
        <v/>
      </c>
      <c r="G310" s="4">
        <f>E310/E309-1</f>
        <v/>
      </c>
    </row>
    <row r="311">
      <c r="A311" s="2" t="n">
        <v>44900</v>
      </c>
      <c r="B311" s="3" t="n">
        <v>18701.05</v>
      </c>
      <c r="C311" s="3" t="n">
        <v>18701.05</v>
      </c>
      <c r="D311" s="3" t="n">
        <v>1366.9</v>
      </c>
      <c r="E311" s="3" t="n">
        <v>1335.45</v>
      </c>
      <c r="F311" s="4">
        <f>C311/C310-1</f>
        <v/>
      </c>
      <c r="G311" s="4">
        <f>E311/E310-1</f>
        <v/>
      </c>
    </row>
    <row r="312">
      <c r="A312" s="2" t="n">
        <v>44901</v>
      </c>
      <c r="B312" s="3" t="n">
        <v>18642.75</v>
      </c>
      <c r="C312" s="3" t="n">
        <v>18642.75</v>
      </c>
      <c r="D312" s="3" t="n">
        <v>1378.6</v>
      </c>
      <c r="E312" s="3" t="n">
        <v>1346.88</v>
      </c>
      <c r="F312" s="4">
        <f>C312/C311-1</f>
        <v/>
      </c>
      <c r="G312" s="4">
        <f>E312/E311-1</f>
        <v/>
      </c>
    </row>
    <row r="313">
      <c r="A313" s="2" t="n">
        <v>44902</v>
      </c>
      <c r="B313" s="3" t="n">
        <v>18560.5</v>
      </c>
      <c r="C313" s="3" t="n">
        <v>18560.5</v>
      </c>
      <c r="D313" s="3" t="n">
        <v>1386.2</v>
      </c>
      <c r="E313" s="3" t="n">
        <v>1354.31</v>
      </c>
      <c r="F313" s="4">
        <f>C313/C312-1</f>
        <v/>
      </c>
      <c r="G313" s="4">
        <f>E313/E312-1</f>
        <v/>
      </c>
    </row>
    <row r="314">
      <c r="A314" s="2" t="n">
        <v>44903</v>
      </c>
      <c r="B314" s="3" t="n">
        <v>18609.35</v>
      </c>
      <c r="C314" s="3" t="n">
        <v>18609.35</v>
      </c>
      <c r="D314" s="3" t="n">
        <v>1380.88</v>
      </c>
      <c r="E314" s="3" t="n">
        <v>1349.11</v>
      </c>
      <c r="F314" s="4">
        <f>C314/C313-1</f>
        <v/>
      </c>
      <c r="G314" s="4">
        <f>E314/E313-1</f>
        <v/>
      </c>
    </row>
    <row r="315">
      <c r="A315" s="2" t="n">
        <v>44904</v>
      </c>
      <c r="B315" s="3" t="n">
        <v>18496.6</v>
      </c>
      <c r="C315" s="3" t="n">
        <v>18496.6</v>
      </c>
      <c r="D315" s="3" t="n">
        <v>1369.82</v>
      </c>
      <c r="E315" s="3" t="n">
        <v>1338.31</v>
      </c>
      <c r="F315" s="4">
        <f>C315/C314-1</f>
        <v/>
      </c>
      <c r="G315" s="4">
        <f>E315/E314-1</f>
        <v/>
      </c>
    </row>
    <row r="316">
      <c r="A316" s="2" t="n">
        <v>44907</v>
      </c>
      <c r="B316" s="3" t="n">
        <v>18497.15</v>
      </c>
      <c r="C316" s="3" t="n">
        <v>18497.15</v>
      </c>
      <c r="D316" s="3" t="n">
        <v>1344.07</v>
      </c>
      <c r="E316" s="3" t="n">
        <v>1313.15</v>
      </c>
      <c r="F316" s="4">
        <f>C316/C315-1</f>
        <v/>
      </c>
      <c r="G316" s="4">
        <f>E316/E315-1</f>
        <v/>
      </c>
    </row>
    <row r="317">
      <c r="A317" s="2" t="n">
        <v>44908</v>
      </c>
      <c r="B317" s="3" t="n">
        <v>18608</v>
      </c>
      <c r="C317" s="3" t="n">
        <v>18608</v>
      </c>
      <c r="D317" s="3" t="n">
        <v>1324.4</v>
      </c>
      <c r="E317" s="3" t="n">
        <v>1293.93</v>
      </c>
      <c r="F317" s="4">
        <f>C317/C316-1</f>
        <v/>
      </c>
      <c r="G317" s="4">
        <f>E317/E316-1</f>
        <v/>
      </c>
    </row>
    <row r="318">
      <c r="A318" s="2" t="n">
        <v>44909</v>
      </c>
      <c r="B318" s="3" t="n">
        <v>18660.3</v>
      </c>
      <c r="C318" s="3" t="n">
        <v>18660.3</v>
      </c>
      <c r="D318" s="3" t="n">
        <v>1318.15</v>
      </c>
      <c r="E318" s="3" t="n">
        <v>1287.83</v>
      </c>
      <c r="F318" s="4">
        <f>C318/C317-1</f>
        <v/>
      </c>
      <c r="G318" s="4">
        <f>E318/E317-1</f>
        <v/>
      </c>
    </row>
    <row r="319">
      <c r="A319" s="2" t="n">
        <v>44910</v>
      </c>
      <c r="B319" s="3" t="n">
        <v>18414.9</v>
      </c>
      <c r="C319" s="3" t="n">
        <v>18414.9</v>
      </c>
      <c r="D319" s="3" t="n">
        <v>1308.28</v>
      </c>
      <c r="E319" s="3" t="n">
        <v>1278.18</v>
      </c>
      <c r="F319" s="4">
        <f>C319/C318-1</f>
        <v/>
      </c>
      <c r="G319" s="4">
        <f>E319/E318-1</f>
        <v/>
      </c>
    </row>
    <row r="320">
      <c r="A320" s="2" t="n">
        <v>44911</v>
      </c>
      <c r="B320" s="3" t="n">
        <v>18269</v>
      </c>
      <c r="C320" s="3" t="n">
        <v>18269</v>
      </c>
      <c r="D320" s="3" t="n">
        <v>1296.45</v>
      </c>
      <c r="E320" s="3" t="n">
        <v>1266.62</v>
      </c>
      <c r="F320" s="4">
        <f>C320/C319-1</f>
        <v/>
      </c>
      <c r="G320" s="4">
        <f>E320/E319-1</f>
        <v/>
      </c>
    </row>
    <row r="321">
      <c r="A321" s="2" t="n">
        <v>44914</v>
      </c>
      <c r="B321" s="3" t="n">
        <v>18420.45</v>
      </c>
      <c r="C321" s="3" t="n">
        <v>18420.45</v>
      </c>
      <c r="D321" s="3" t="n">
        <v>1299.93</v>
      </c>
      <c r="E321" s="3" t="n">
        <v>1270.02</v>
      </c>
      <c r="F321" s="4">
        <f>C321/C320-1</f>
        <v/>
      </c>
      <c r="G321" s="4">
        <f>E321/E320-1</f>
        <v/>
      </c>
    </row>
    <row r="322">
      <c r="A322" s="2" t="n">
        <v>44915</v>
      </c>
      <c r="B322" s="3" t="n">
        <v>18385.3</v>
      </c>
      <c r="C322" s="3" t="n">
        <v>18385.3</v>
      </c>
      <c r="D322" s="3" t="n">
        <v>1288.35</v>
      </c>
      <c r="E322" s="3" t="n">
        <v>1258.71</v>
      </c>
      <c r="F322" s="4">
        <f>C322/C321-1</f>
        <v/>
      </c>
      <c r="G322" s="4">
        <f>E322/E321-1</f>
        <v/>
      </c>
    </row>
    <row r="323">
      <c r="A323" s="2" t="n">
        <v>44916</v>
      </c>
      <c r="B323" s="3" t="n">
        <v>18199.1</v>
      </c>
      <c r="C323" s="3" t="n">
        <v>18199.1</v>
      </c>
      <c r="D323" s="3" t="n">
        <v>1282.88</v>
      </c>
      <c r="E323" s="3" t="n">
        <v>1253.36</v>
      </c>
      <c r="F323" s="4">
        <f>C323/C322-1</f>
        <v/>
      </c>
      <c r="G323" s="4">
        <f>E323/E322-1</f>
        <v/>
      </c>
    </row>
    <row r="324">
      <c r="A324" s="2" t="n">
        <v>44917</v>
      </c>
      <c r="B324" s="3" t="n">
        <v>18127.35</v>
      </c>
      <c r="C324" s="3" t="n">
        <v>18127.35</v>
      </c>
      <c r="D324" s="3" t="n">
        <v>1275.88</v>
      </c>
      <c r="E324" s="3" t="n">
        <v>1246.52</v>
      </c>
      <c r="F324" s="4">
        <f>C324/C323-1</f>
        <v/>
      </c>
      <c r="G324" s="4">
        <f>E324/E323-1</f>
        <v/>
      </c>
    </row>
    <row r="325">
      <c r="A325" s="2" t="n">
        <v>44918</v>
      </c>
      <c r="B325" s="3" t="n">
        <v>17806.8</v>
      </c>
      <c r="C325" s="3" t="n">
        <v>17806.8</v>
      </c>
      <c r="D325" s="3" t="n">
        <v>1245.12</v>
      </c>
      <c r="E325" s="3" t="n">
        <v>1216.48</v>
      </c>
      <c r="F325" s="4">
        <f>C325/C324-1</f>
        <v/>
      </c>
      <c r="G325" s="4">
        <f>E325/E324-1</f>
        <v/>
      </c>
    </row>
    <row r="326">
      <c r="A326" s="2" t="n">
        <v>44921</v>
      </c>
      <c r="B326" s="3" t="n">
        <v>18014.6</v>
      </c>
      <c r="C326" s="3" t="n">
        <v>18014.6</v>
      </c>
      <c r="D326" s="3" t="n">
        <v>1256.78</v>
      </c>
      <c r="E326" s="3" t="n">
        <v>1227.86</v>
      </c>
      <c r="F326" s="4">
        <f>C326/C325-1</f>
        <v/>
      </c>
      <c r="G326" s="4">
        <f>E326/E325-1</f>
        <v/>
      </c>
    </row>
    <row r="327">
      <c r="A327" s="2" t="n">
        <v>44922</v>
      </c>
      <c r="B327" s="3" t="n">
        <v>18132.3</v>
      </c>
      <c r="C327" s="3" t="n">
        <v>18132.3</v>
      </c>
      <c r="D327" s="3" t="n">
        <v>1268.57</v>
      </c>
      <c r="E327" s="3" t="n">
        <v>1239.39</v>
      </c>
      <c r="F327" s="4">
        <f>C327/C326-1</f>
        <v/>
      </c>
      <c r="G327" s="4">
        <f>E327/E326-1</f>
        <v/>
      </c>
    </row>
    <row r="328">
      <c r="A328" s="2" t="n">
        <v>44923</v>
      </c>
      <c r="B328" s="3" t="n">
        <v>18122.5</v>
      </c>
      <c r="C328" s="3" t="n">
        <v>18122.5</v>
      </c>
      <c r="D328" s="3" t="n">
        <v>1293.95</v>
      </c>
      <c r="E328" s="3" t="n">
        <v>1264.18</v>
      </c>
      <c r="F328" s="4">
        <f>C328/C327-1</f>
        <v/>
      </c>
      <c r="G328" s="4">
        <f>E328/E327-1</f>
        <v/>
      </c>
    </row>
    <row r="329">
      <c r="A329" s="2" t="n">
        <v>44924</v>
      </c>
      <c r="B329" s="3" t="n">
        <v>18191</v>
      </c>
      <c r="C329" s="3" t="n">
        <v>18191</v>
      </c>
      <c r="D329" s="3" t="n">
        <v>1300.85</v>
      </c>
      <c r="E329" s="3" t="n">
        <v>1270.92</v>
      </c>
      <c r="F329" s="4">
        <f>C329/C328-1</f>
        <v/>
      </c>
      <c r="G329" s="4">
        <f>E329/E328-1</f>
        <v/>
      </c>
    </row>
    <row r="330">
      <c r="A330" s="2" t="n">
        <v>44925</v>
      </c>
      <c r="B330" s="3" t="n">
        <v>18105.3</v>
      </c>
      <c r="C330" s="3" t="n">
        <v>18105.3</v>
      </c>
      <c r="D330" s="3" t="n">
        <v>1275.07</v>
      </c>
      <c r="E330" s="3" t="n">
        <v>1245.74</v>
      </c>
      <c r="F330" s="4">
        <f>C330/C329-1</f>
        <v/>
      </c>
      <c r="G330" s="4">
        <f>E330/E329-1</f>
        <v/>
      </c>
    </row>
    <row r="331">
      <c r="A331" s="2" t="n">
        <v>44928</v>
      </c>
      <c r="B331" s="3" t="n">
        <v>18197.45</v>
      </c>
      <c r="C331" s="3" t="n">
        <v>18197.45</v>
      </c>
      <c r="D331" s="3" t="n">
        <v>1265</v>
      </c>
      <c r="E331" s="3" t="n">
        <v>1235.9</v>
      </c>
      <c r="F331" s="4">
        <f>C331/C330-1</f>
        <v/>
      </c>
      <c r="G331" s="4">
        <f>E331/E330-1</f>
        <v/>
      </c>
    </row>
    <row r="332">
      <c r="A332" s="2" t="n">
        <v>44929</v>
      </c>
      <c r="B332" s="3" t="n">
        <v>18232.55</v>
      </c>
      <c r="C332" s="3" t="n">
        <v>18232.55</v>
      </c>
      <c r="D332" s="3" t="n">
        <v>1268.5</v>
      </c>
      <c r="E332" s="3" t="n">
        <v>1239.32</v>
      </c>
      <c r="F332" s="4">
        <f>C332/C331-1</f>
        <v/>
      </c>
      <c r="G332" s="4">
        <f>E332/E331-1</f>
        <v/>
      </c>
    </row>
    <row r="333">
      <c r="A333" s="2" t="n">
        <v>44930</v>
      </c>
      <c r="B333" s="3" t="n">
        <v>18042.95</v>
      </c>
      <c r="C333" s="3" t="n">
        <v>18042.95</v>
      </c>
      <c r="D333" s="3" t="n">
        <v>1255.47</v>
      </c>
      <c r="E333" s="3" t="n">
        <v>1226.59</v>
      </c>
      <c r="F333" s="4">
        <f>C333/C332-1</f>
        <v/>
      </c>
      <c r="G333" s="4">
        <f>E333/E332-1</f>
        <v/>
      </c>
    </row>
    <row r="334">
      <c r="A334" s="2" t="n">
        <v>44931</v>
      </c>
      <c r="B334" s="3" t="n">
        <v>17992.15</v>
      </c>
      <c r="C334" s="3" t="n">
        <v>17992.15</v>
      </c>
      <c r="D334" s="3" t="n">
        <v>1259.05</v>
      </c>
      <c r="E334" s="3" t="n">
        <v>1230.08</v>
      </c>
      <c r="F334" s="4">
        <f>C334/C333-1</f>
        <v/>
      </c>
      <c r="G334" s="4">
        <f>E334/E333-1</f>
        <v/>
      </c>
    </row>
    <row r="335">
      <c r="A335" s="2" t="n">
        <v>44932</v>
      </c>
      <c r="B335" s="3" t="n">
        <v>17859.45</v>
      </c>
      <c r="C335" s="3" t="n">
        <v>17859.45</v>
      </c>
      <c r="D335" s="3" t="n">
        <v>1261.15</v>
      </c>
      <c r="E335" s="3" t="n">
        <v>1232.14</v>
      </c>
      <c r="F335" s="4">
        <f>C335/C334-1</f>
        <v/>
      </c>
      <c r="G335" s="4">
        <f>E335/E334-1</f>
        <v/>
      </c>
    </row>
    <row r="336">
      <c r="A336" s="2" t="n">
        <v>44935</v>
      </c>
      <c r="B336" s="3" t="n">
        <v>18101.2</v>
      </c>
      <c r="C336" s="3" t="n">
        <v>18101.2</v>
      </c>
      <c r="D336" s="3" t="n">
        <v>1276.18</v>
      </c>
      <c r="E336" s="3" t="n">
        <v>1246.82</v>
      </c>
      <c r="F336" s="4">
        <f>C336/C335-1</f>
        <v/>
      </c>
      <c r="G336" s="4">
        <f>E336/E335-1</f>
        <v/>
      </c>
    </row>
    <row r="337">
      <c r="A337" s="2" t="n">
        <v>44936</v>
      </c>
      <c r="B337" s="3" t="n">
        <v>17914.15</v>
      </c>
      <c r="C337" s="3" t="n">
        <v>17914.15</v>
      </c>
      <c r="D337" s="3" t="n">
        <v>1264.6</v>
      </c>
      <c r="E337" s="3" t="n">
        <v>1235.51</v>
      </c>
      <c r="F337" s="4">
        <f>C337/C336-1</f>
        <v/>
      </c>
      <c r="G337" s="4">
        <f>E337/E336-1</f>
        <v/>
      </c>
    </row>
    <row r="338">
      <c r="A338" s="2" t="n">
        <v>44937</v>
      </c>
      <c r="B338" s="3" t="n">
        <v>17895.7</v>
      </c>
      <c r="C338" s="3" t="n">
        <v>17895.7</v>
      </c>
      <c r="D338" s="3" t="n">
        <v>1239.75</v>
      </c>
      <c r="E338" s="3" t="n">
        <v>1211.23</v>
      </c>
      <c r="F338" s="4">
        <f>C338/C337-1</f>
        <v/>
      </c>
      <c r="G338" s="4">
        <f>E338/E337-1</f>
        <v/>
      </c>
    </row>
    <row r="339">
      <c r="A339" s="2" t="n">
        <v>44938</v>
      </c>
      <c r="B339" s="3" t="n">
        <v>17858.2</v>
      </c>
      <c r="C339" s="3" t="n">
        <v>17858.2</v>
      </c>
      <c r="D339" s="3" t="n">
        <v>1247.75</v>
      </c>
      <c r="E339" s="3" t="n">
        <v>1219.04</v>
      </c>
      <c r="F339" s="4">
        <f>C339/C338-1</f>
        <v/>
      </c>
      <c r="G339" s="4">
        <f>E339/E338-1</f>
        <v/>
      </c>
    </row>
    <row r="340">
      <c r="A340" s="2" t="n">
        <v>44939</v>
      </c>
      <c r="B340" s="3" t="n">
        <v>17956.6</v>
      </c>
      <c r="C340" s="3" t="n">
        <v>17956.6</v>
      </c>
      <c r="D340" s="3" t="n">
        <v>1252.57</v>
      </c>
      <c r="E340" s="3" t="n">
        <v>1223.76</v>
      </c>
      <c r="F340" s="4">
        <f>C340/C339-1</f>
        <v/>
      </c>
      <c r="G340" s="4">
        <f>E340/E339-1</f>
        <v/>
      </c>
    </row>
    <row r="341">
      <c r="A341" s="2" t="n">
        <v>44942</v>
      </c>
      <c r="B341" s="3" t="n">
        <v>17894.85</v>
      </c>
      <c r="C341" s="3" t="n">
        <v>17894.85</v>
      </c>
      <c r="D341" s="3" t="n">
        <v>1224.9</v>
      </c>
      <c r="E341" s="3" t="n">
        <v>1196.72</v>
      </c>
      <c r="F341" s="4">
        <f>C341/C340-1</f>
        <v/>
      </c>
      <c r="G341" s="4">
        <f>E341/E340-1</f>
        <v/>
      </c>
    </row>
    <row r="342">
      <c r="A342" s="2" t="n">
        <v>44943</v>
      </c>
      <c r="B342" s="3" t="n">
        <v>18053.3</v>
      </c>
      <c r="C342" s="3" t="n">
        <v>18053.3</v>
      </c>
      <c r="D342" s="3" t="n">
        <v>1218.72</v>
      </c>
      <c r="E342" s="3" t="n">
        <v>1190.69</v>
      </c>
      <c r="F342" s="4">
        <f>C342/C341-1</f>
        <v/>
      </c>
      <c r="G342" s="4">
        <f>E342/E341-1</f>
        <v/>
      </c>
    </row>
    <row r="343">
      <c r="A343" s="2" t="n">
        <v>44944</v>
      </c>
      <c r="B343" s="3" t="n">
        <v>18165.35</v>
      </c>
      <c r="C343" s="3" t="n">
        <v>18165.35</v>
      </c>
      <c r="D343" s="3" t="n">
        <v>1244.32</v>
      </c>
      <c r="E343" s="3" t="n">
        <v>1215.7</v>
      </c>
      <c r="F343" s="4">
        <f>C343/C342-1</f>
        <v/>
      </c>
      <c r="G343" s="4">
        <f>E343/E342-1</f>
        <v/>
      </c>
    </row>
    <row r="344">
      <c r="A344" s="2" t="n">
        <v>44945</v>
      </c>
      <c r="B344" s="3" t="n">
        <v>18107.85</v>
      </c>
      <c r="C344" s="3" t="n">
        <v>18107.85</v>
      </c>
      <c r="D344" s="3" t="n">
        <v>1226.6</v>
      </c>
      <c r="E344" s="3" t="n">
        <v>1198.38</v>
      </c>
      <c r="F344" s="4">
        <f>C344/C343-1</f>
        <v/>
      </c>
      <c r="G344" s="4">
        <f>E344/E343-1</f>
        <v/>
      </c>
    </row>
    <row r="345">
      <c r="A345" s="2" t="n">
        <v>44946</v>
      </c>
      <c r="B345" s="3" t="n">
        <v>18027.65</v>
      </c>
      <c r="C345" s="3" t="n">
        <v>18027.65</v>
      </c>
      <c r="D345" s="3" t="n">
        <v>1201.3</v>
      </c>
      <c r="E345" s="3" t="n">
        <v>1173.66</v>
      </c>
      <c r="F345" s="4">
        <f>C345/C344-1</f>
        <v/>
      </c>
      <c r="G345" s="4">
        <f>E345/E344-1</f>
        <v/>
      </c>
    </row>
    <row r="346">
      <c r="A346" s="2" t="n">
        <v>44949</v>
      </c>
      <c r="B346" s="3" t="n">
        <v>18118.55</v>
      </c>
      <c r="C346" s="3" t="n">
        <v>18118.55</v>
      </c>
      <c r="D346" s="3" t="n">
        <v>1204.8</v>
      </c>
      <c r="E346" s="3" t="n">
        <v>1177.08</v>
      </c>
      <c r="F346" s="4">
        <f>C346/C345-1</f>
        <v/>
      </c>
      <c r="G346" s="4">
        <f>E346/E345-1</f>
        <v/>
      </c>
    </row>
    <row r="347">
      <c r="A347" s="2" t="n">
        <v>44950</v>
      </c>
      <c r="B347" s="3" t="n">
        <v>18118.3</v>
      </c>
      <c r="C347" s="3" t="n">
        <v>18118.3</v>
      </c>
      <c r="D347" s="3" t="n">
        <v>1191.18</v>
      </c>
      <c r="E347" s="3" t="n">
        <v>1163.77</v>
      </c>
      <c r="F347" s="4">
        <f>C347/C346-1</f>
        <v/>
      </c>
      <c r="G347" s="4">
        <f>E347/E346-1</f>
        <v/>
      </c>
    </row>
    <row r="348">
      <c r="A348" s="2" t="n">
        <v>44951</v>
      </c>
      <c r="B348" s="3" t="n">
        <v>17891.95</v>
      </c>
      <c r="C348" s="3" t="n">
        <v>17891.95</v>
      </c>
      <c r="D348" s="3" t="n">
        <v>1157.65</v>
      </c>
      <c r="E348" s="3" t="n">
        <v>1131.02</v>
      </c>
      <c r="F348" s="4">
        <f>C348/C347-1</f>
        <v/>
      </c>
      <c r="G348" s="4">
        <f>E348/E347-1</f>
        <v/>
      </c>
    </row>
    <row r="349">
      <c r="A349" s="2" t="n">
        <v>44953</v>
      </c>
      <c r="B349" s="3" t="n">
        <v>17604.35</v>
      </c>
      <c r="C349" s="3" t="n">
        <v>17604.35</v>
      </c>
      <c r="D349" s="3" t="n">
        <v>1145.32</v>
      </c>
      <c r="E349" s="3" t="n">
        <v>1118.98</v>
      </c>
      <c r="F349" s="4">
        <f>C349/C348-1</f>
        <v/>
      </c>
      <c r="G349" s="4">
        <f>E349/E348-1</f>
        <v/>
      </c>
    </row>
    <row r="350">
      <c r="A350" s="2" t="n">
        <v>44956</v>
      </c>
      <c r="B350" s="3" t="n">
        <v>17648.95</v>
      </c>
      <c r="C350" s="3" t="n">
        <v>17648.95</v>
      </c>
      <c r="D350" s="3" t="n">
        <v>1141.7</v>
      </c>
      <c r="E350" s="3" t="n">
        <v>1115.43</v>
      </c>
      <c r="F350" s="4">
        <f>C350/C349-1</f>
        <v/>
      </c>
      <c r="G350" s="4">
        <f>E350/E349-1</f>
        <v/>
      </c>
    </row>
    <row r="351">
      <c r="A351" s="2" t="n">
        <v>44957</v>
      </c>
      <c r="B351" s="3" t="n">
        <v>17662.15</v>
      </c>
      <c r="C351" s="3" t="n">
        <v>17662.15</v>
      </c>
      <c r="D351" s="3" t="n">
        <v>1139.78</v>
      </c>
      <c r="E351" s="3" t="n">
        <v>1113.55</v>
      </c>
      <c r="F351" s="4">
        <f>C351/C350-1</f>
        <v/>
      </c>
      <c r="G351" s="4">
        <f>E351/E350-1</f>
        <v/>
      </c>
    </row>
    <row r="352">
      <c r="A352" s="2" t="n">
        <v>44958</v>
      </c>
      <c r="B352" s="3" t="n">
        <v>17616.3</v>
      </c>
      <c r="C352" s="3" t="n">
        <v>17616.3</v>
      </c>
      <c r="D352" s="3" t="n">
        <v>1157.65</v>
      </c>
      <c r="E352" s="3" t="n">
        <v>1131.02</v>
      </c>
      <c r="F352" s="4">
        <f>C352/C351-1</f>
        <v/>
      </c>
      <c r="G352" s="4">
        <f>E352/E351-1</f>
        <v/>
      </c>
    </row>
    <row r="353">
      <c r="A353" s="2" t="n">
        <v>44959</v>
      </c>
      <c r="B353" s="3" t="n">
        <v>17610.4</v>
      </c>
      <c r="C353" s="3" t="n">
        <v>17610.4</v>
      </c>
      <c r="D353" s="3" t="n">
        <v>1145.72</v>
      </c>
      <c r="E353" s="3" t="n">
        <v>1119.37</v>
      </c>
      <c r="F353" s="4">
        <f>C353/C352-1</f>
        <v/>
      </c>
      <c r="G353" s="4">
        <f>E353/E352-1</f>
        <v/>
      </c>
    </row>
    <row r="354">
      <c r="A354" s="2" t="n">
        <v>44960</v>
      </c>
      <c r="B354" s="3" t="n">
        <v>17854.05</v>
      </c>
      <c r="C354" s="3" t="n">
        <v>17854.05</v>
      </c>
      <c r="D354" s="3" t="n">
        <v>1170.78</v>
      </c>
      <c r="E354" s="3" t="n">
        <v>1143.84</v>
      </c>
      <c r="F354" s="4">
        <f>C354/C353-1</f>
        <v/>
      </c>
      <c r="G354" s="4">
        <f>E354/E353-1</f>
        <v/>
      </c>
    </row>
    <row r="355">
      <c r="A355" s="2" t="n">
        <v>44963</v>
      </c>
      <c r="B355" s="3" t="n">
        <v>17764.6</v>
      </c>
      <c r="C355" s="3" t="n">
        <v>17764.6</v>
      </c>
      <c r="D355" s="3" t="n">
        <v>1166.65</v>
      </c>
      <c r="E355" s="3" t="n">
        <v>1139.81</v>
      </c>
      <c r="F355" s="4">
        <f>C355/C354-1</f>
        <v/>
      </c>
      <c r="G355" s="4">
        <f>E355/E354-1</f>
        <v/>
      </c>
    </row>
    <row r="356">
      <c r="A356" s="2" t="n">
        <v>44964</v>
      </c>
      <c r="B356" s="3" t="n">
        <v>17721.5</v>
      </c>
      <c r="C356" s="3" t="n">
        <v>17721.5</v>
      </c>
      <c r="D356" s="3" t="n">
        <v>1157.6</v>
      </c>
      <c r="E356" s="3" t="n">
        <v>1130.97</v>
      </c>
      <c r="F356" s="4">
        <f>C356/C355-1</f>
        <v/>
      </c>
      <c r="G356" s="4">
        <f>E356/E355-1</f>
        <v/>
      </c>
    </row>
    <row r="357">
      <c r="A357" s="2" t="n">
        <v>44965</v>
      </c>
      <c r="B357" s="3" t="n">
        <v>17871.7</v>
      </c>
      <c r="C357" s="3" t="n">
        <v>17871.7</v>
      </c>
      <c r="D357" s="3" t="n">
        <v>1166.88</v>
      </c>
      <c r="E357" s="3" t="n">
        <v>1140.03</v>
      </c>
      <c r="F357" s="4">
        <f>C357/C356-1</f>
        <v/>
      </c>
      <c r="G357" s="4">
        <f>E357/E356-1</f>
        <v/>
      </c>
    </row>
    <row r="358">
      <c r="A358" s="2" t="n">
        <v>44966</v>
      </c>
      <c r="B358" s="3" t="n">
        <v>17893.45</v>
      </c>
      <c r="C358" s="3" t="n">
        <v>17893.45</v>
      </c>
      <c r="D358" s="3" t="n">
        <v>1163.82</v>
      </c>
      <c r="E358" s="3" t="n">
        <v>1137.05</v>
      </c>
      <c r="F358" s="4">
        <f>C358/C357-1</f>
        <v/>
      </c>
      <c r="G358" s="4">
        <f>E358/E357-1</f>
        <v/>
      </c>
    </row>
    <row r="359">
      <c r="A359" s="2" t="n">
        <v>44967</v>
      </c>
      <c r="B359" s="3" t="n">
        <v>17856.5</v>
      </c>
      <c r="C359" s="3" t="n">
        <v>17856.5</v>
      </c>
      <c r="D359" s="3" t="n">
        <v>1158.07</v>
      </c>
      <c r="E359" s="3" t="n">
        <v>1131.43</v>
      </c>
      <c r="F359" s="4">
        <f>C359/C358-1</f>
        <v/>
      </c>
      <c r="G359" s="4">
        <f>E359/E358-1</f>
        <v/>
      </c>
    </row>
    <row r="360">
      <c r="A360" s="2" t="n">
        <v>44970</v>
      </c>
      <c r="B360" s="3" t="n">
        <v>17770.9</v>
      </c>
      <c r="C360" s="3" t="n">
        <v>17770.9</v>
      </c>
      <c r="D360" s="3" t="n">
        <v>1150.97</v>
      </c>
      <c r="E360" s="3" t="n">
        <v>1124.5</v>
      </c>
      <c r="F360" s="4">
        <f>C360/C359-1</f>
        <v/>
      </c>
      <c r="G360" s="4">
        <f>E360/E359-1</f>
        <v/>
      </c>
    </row>
    <row r="361">
      <c r="A361" s="2" t="n">
        <v>44971</v>
      </c>
      <c r="B361" s="3" t="n">
        <v>17929.85</v>
      </c>
      <c r="C361" s="3" t="n">
        <v>17929.85</v>
      </c>
      <c r="D361" s="3" t="n">
        <v>1148.05</v>
      </c>
      <c r="E361" s="3" t="n">
        <v>1121.64</v>
      </c>
      <c r="F361" s="4">
        <f>C361/C360-1</f>
        <v/>
      </c>
      <c r="G361" s="4">
        <f>E361/E360-1</f>
        <v/>
      </c>
    </row>
    <row r="362">
      <c r="A362" s="2" t="n">
        <v>44972</v>
      </c>
      <c r="B362" s="3" t="n">
        <v>18015.85</v>
      </c>
      <c r="C362" s="3" t="n">
        <v>18015.85</v>
      </c>
      <c r="D362" s="3" t="n">
        <v>1155.65</v>
      </c>
      <c r="E362" s="3" t="n">
        <v>1129.06</v>
      </c>
      <c r="F362" s="4">
        <f>C362/C361-1</f>
        <v/>
      </c>
      <c r="G362" s="4">
        <f>E362/E361-1</f>
        <v/>
      </c>
    </row>
    <row r="363">
      <c r="A363" s="2" t="n">
        <v>44973</v>
      </c>
      <c r="B363" s="3" t="n">
        <v>18035.85</v>
      </c>
      <c r="C363" s="3" t="n">
        <v>18035.85</v>
      </c>
      <c r="D363" s="3" t="n">
        <v>1158.38</v>
      </c>
      <c r="E363" s="3" t="n">
        <v>1131.73</v>
      </c>
      <c r="F363" s="4">
        <f>C363/C362-1</f>
        <v/>
      </c>
      <c r="G363" s="4">
        <f>E363/E362-1</f>
        <v/>
      </c>
    </row>
    <row r="364">
      <c r="A364" s="2" t="n">
        <v>44974</v>
      </c>
      <c r="B364" s="3" t="n">
        <v>17944.2</v>
      </c>
      <c r="C364" s="3" t="n">
        <v>17944.2</v>
      </c>
      <c r="D364" s="3" t="n">
        <v>1166.55</v>
      </c>
      <c r="E364" s="3" t="n">
        <v>1139.71</v>
      </c>
      <c r="F364" s="4">
        <f>C364/C363-1</f>
        <v/>
      </c>
      <c r="G364" s="4">
        <f>E364/E363-1</f>
        <v/>
      </c>
    </row>
    <row r="365">
      <c r="A365" s="2" t="n">
        <v>44977</v>
      </c>
      <c r="B365" s="3" t="n">
        <v>17844.6</v>
      </c>
      <c r="C365" s="3" t="n">
        <v>17844.6</v>
      </c>
      <c r="D365" s="3" t="n">
        <v>1160.03</v>
      </c>
      <c r="E365" s="3" t="n">
        <v>1133.34</v>
      </c>
      <c r="F365" s="4">
        <f>C365/C364-1</f>
        <v/>
      </c>
      <c r="G365" s="4">
        <f>E365/E364-1</f>
        <v/>
      </c>
    </row>
    <row r="366">
      <c r="A366" s="2" t="n">
        <v>44978</v>
      </c>
      <c r="B366" s="3" t="n">
        <v>17826.7</v>
      </c>
      <c r="C366" s="3" t="n">
        <v>17826.7</v>
      </c>
      <c r="D366" s="3" t="n">
        <v>1165.93</v>
      </c>
      <c r="E366" s="3" t="n">
        <v>1139.1</v>
      </c>
      <c r="F366" s="4">
        <f>C366/C365-1</f>
        <v/>
      </c>
      <c r="G366" s="4">
        <f>E366/E365-1</f>
        <v/>
      </c>
    </row>
    <row r="367">
      <c r="A367" s="2" t="n">
        <v>44979</v>
      </c>
      <c r="B367" s="3" t="n">
        <v>17554.3</v>
      </c>
      <c r="C367" s="3" t="n">
        <v>17554.3</v>
      </c>
      <c r="D367" s="3" t="n">
        <v>1147.32</v>
      </c>
      <c r="E367" s="3" t="n">
        <v>1120.93</v>
      </c>
      <c r="F367" s="4">
        <f>C367/C366-1</f>
        <v/>
      </c>
      <c r="G367" s="4">
        <f>E367/E366-1</f>
        <v/>
      </c>
    </row>
    <row r="368">
      <c r="A368" s="2" t="n">
        <v>44980</v>
      </c>
      <c r="B368" s="3" t="n">
        <v>17511.25</v>
      </c>
      <c r="C368" s="3" t="n">
        <v>17511.25</v>
      </c>
      <c r="D368" s="3" t="n">
        <v>1134.07</v>
      </c>
      <c r="E368" s="3" t="n">
        <v>1107.98</v>
      </c>
      <c r="F368" s="4">
        <f>C368/C367-1</f>
        <v/>
      </c>
      <c r="G368" s="4">
        <f>E368/E367-1</f>
        <v/>
      </c>
    </row>
    <row r="369">
      <c r="A369" s="2" t="n">
        <v>44981</v>
      </c>
      <c r="B369" s="3" t="n">
        <v>17465.8</v>
      </c>
      <c r="C369" s="3" t="n">
        <v>17465.8</v>
      </c>
      <c r="D369" s="3" t="n">
        <v>1137.85</v>
      </c>
      <c r="E369" s="3" t="n">
        <v>1111.67</v>
      </c>
      <c r="F369" s="4">
        <f>C369/C368-1</f>
        <v/>
      </c>
      <c r="G369" s="4">
        <f>E369/E368-1</f>
        <v/>
      </c>
    </row>
    <row r="370">
      <c r="A370" s="2" t="n">
        <v>44984</v>
      </c>
      <c r="B370" s="3" t="n">
        <v>17392.7</v>
      </c>
      <c r="C370" s="3" t="n">
        <v>17392.7</v>
      </c>
      <c r="D370" s="3" t="n">
        <v>1139.82</v>
      </c>
      <c r="E370" s="3" t="n">
        <v>1113.6</v>
      </c>
      <c r="F370" s="4">
        <f>C370/C369-1</f>
        <v/>
      </c>
      <c r="G370" s="4">
        <f>E370/E369-1</f>
        <v/>
      </c>
    </row>
    <row r="371">
      <c r="A371" s="2" t="n">
        <v>44985</v>
      </c>
      <c r="B371" s="3" t="n">
        <v>17303.95</v>
      </c>
      <c r="C371" s="3" t="n">
        <v>17303.95</v>
      </c>
      <c r="D371" s="3" t="n">
        <v>1150.4</v>
      </c>
      <c r="E371" s="3" t="n">
        <v>1123.93</v>
      </c>
      <c r="F371" s="4">
        <f>C371/C370-1</f>
        <v/>
      </c>
      <c r="G371" s="4">
        <f>E371/E370-1</f>
        <v/>
      </c>
    </row>
    <row r="372">
      <c r="A372" s="2" t="n">
        <v>44986</v>
      </c>
      <c r="B372" s="3" t="n">
        <v>17450.9</v>
      </c>
      <c r="C372" s="3" t="n">
        <v>17450.9</v>
      </c>
      <c r="D372" s="3" t="n">
        <v>1153.75</v>
      </c>
      <c r="E372" s="3" t="n">
        <v>1127.21</v>
      </c>
      <c r="F372" s="4">
        <f>C372/C371-1</f>
        <v/>
      </c>
      <c r="G372" s="4">
        <f>E372/E371-1</f>
        <v/>
      </c>
    </row>
    <row r="373">
      <c r="A373" s="2" t="n">
        <v>44987</v>
      </c>
      <c r="B373" s="3" t="n">
        <v>17321.9</v>
      </c>
      <c r="C373" s="3" t="n">
        <v>17321.9</v>
      </c>
      <c r="D373" s="3" t="n">
        <v>1154.95</v>
      </c>
      <c r="E373" s="3" t="n">
        <v>1128.38</v>
      </c>
      <c r="F373" s="4">
        <f>C373/C372-1</f>
        <v/>
      </c>
      <c r="G373" s="4">
        <f>E373/E372-1</f>
        <v/>
      </c>
    </row>
    <row r="374">
      <c r="A374" s="2" t="n">
        <v>44988</v>
      </c>
      <c r="B374" s="3" t="n">
        <v>17594.35</v>
      </c>
      <c r="C374" s="3" t="n">
        <v>17594.35</v>
      </c>
      <c r="D374" s="3" t="n">
        <v>1159.38</v>
      </c>
      <c r="E374" s="3" t="n">
        <v>1132.7</v>
      </c>
      <c r="F374" s="4">
        <f>C374/C373-1</f>
        <v/>
      </c>
      <c r="G374" s="4">
        <f>E374/E373-1</f>
        <v/>
      </c>
    </row>
    <row r="375">
      <c r="A375" s="2" t="n">
        <v>44991</v>
      </c>
      <c r="B375" s="3" t="n">
        <v>17711.45</v>
      </c>
      <c r="C375" s="3" t="n">
        <v>17711.45</v>
      </c>
      <c r="D375" s="3" t="n">
        <v>1175.5</v>
      </c>
      <c r="E375" s="3" t="n">
        <v>1148.46</v>
      </c>
      <c r="F375" s="4">
        <f>C375/C374-1</f>
        <v/>
      </c>
      <c r="G375" s="4">
        <f>E375/E374-1</f>
        <v/>
      </c>
    </row>
    <row r="376">
      <c r="A376" s="2" t="n">
        <v>44993</v>
      </c>
      <c r="B376" s="3" t="n">
        <v>17754.4</v>
      </c>
      <c r="C376" s="3" t="n">
        <v>17754.4</v>
      </c>
      <c r="D376" s="3" t="n">
        <v>1174.05</v>
      </c>
      <c r="E376" s="3" t="n">
        <v>1147.04</v>
      </c>
      <c r="F376" s="4">
        <f>C376/C375-1</f>
        <v/>
      </c>
      <c r="G376" s="4">
        <f>E376/E375-1</f>
        <v/>
      </c>
    </row>
    <row r="377">
      <c r="A377" s="2" t="n">
        <v>44994</v>
      </c>
      <c r="B377" s="3" t="n">
        <v>17589.6</v>
      </c>
      <c r="C377" s="3" t="n">
        <v>17589.6</v>
      </c>
      <c r="D377" s="3" t="n">
        <v>1154.28</v>
      </c>
      <c r="E377" s="3" t="n">
        <v>1127.72</v>
      </c>
      <c r="F377" s="4">
        <f>C377/C376-1</f>
        <v/>
      </c>
      <c r="G377" s="4">
        <f>E377/E376-1</f>
        <v/>
      </c>
    </row>
    <row r="378">
      <c r="A378" s="2" t="n">
        <v>44995</v>
      </c>
      <c r="B378" s="3" t="n">
        <v>17412.9</v>
      </c>
      <c r="C378" s="3" t="n">
        <v>17412.9</v>
      </c>
      <c r="D378" s="3" t="n">
        <v>1156.75</v>
      </c>
      <c r="E378" s="3" t="n">
        <v>1130.14</v>
      </c>
      <c r="F378" s="4">
        <f>C378/C377-1</f>
        <v/>
      </c>
      <c r="G378" s="4">
        <f>E378/E377-1</f>
        <v/>
      </c>
    </row>
    <row r="379">
      <c r="A379" s="2" t="n">
        <v>44998</v>
      </c>
      <c r="B379" s="3" t="n">
        <v>17154.3</v>
      </c>
      <c r="C379" s="3" t="n">
        <v>17154.3</v>
      </c>
      <c r="D379" s="3" t="n">
        <v>1146.28</v>
      </c>
      <c r="E379" s="3" t="n">
        <v>1119.9</v>
      </c>
      <c r="F379" s="4">
        <f>C379/C378-1</f>
        <v/>
      </c>
      <c r="G379" s="4">
        <f>E379/E378-1</f>
        <v/>
      </c>
    </row>
    <row r="380">
      <c r="A380" s="2" t="n">
        <v>44999</v>
      </c>
      <c r="B380" s="3" t="n">
        <v>17043.3</v>
      </c>
      <c r="C380" s="3" t="n">
        <v>17043.3</v>
      </c>
      <c r="D380" s="3" t="n">
        <v>1151.12</v>
      </c>
      <c r="E380" s="3" t="n">
        <v>1124.64</v>
      </c>
      <c r="F380" s="4">
        <f>C380/C379-1</f>
        <v/>
      </c>
      <c r="G380" s="4">
        <f>E380/E379-1</f>
        <v/>
      </c>
    </row>
    <row r="381">
      <c r="A381" s="2" t="n">
        <v>45000</v>
      </c>
      <c r="B381" s="3" t="n">
        <v>16972.15</v>
      </c>
      <c r="C381" s="3" t="n">
        <v>16972.15</v>
      </c>
      <c r="D381" s="3" t="n">
        <v>1155.72</v>
      </c>
      <c r="E381" s="3" t="n">
        <v>1129.14</v>
      </c>
      <c r="F381" s="4">
        <f>C381/C380-1</f>
        <v/>
      </c>
      <c r="G381" s="4">
        <f>E381/E380-1</f>
        <v/>
      </c>
    </row>
    <row r="382">
      <c r="A382" s="2" t="n">
        <v>45001</v>
      </c>
      <c r="B382" s="3" t="n">
        <v>16985.6</v>
      </c>
      <c r="C382" s="3" t="n">
        <v>16985.6</v>
      </c>
      <c r="D382" s="3" t="n">
        <v>1170.6</v>
      </c>
      <c r="E382" s="3" t="n">
        <v>1143.67</v>
      </c>
      <c r="F382" s="4">
        <f>C382/C381-1</f>
        <v/>
      </c>
      <c r="G382" s="4">
        <f>E382/E381-1</f>
        <v/>
      </c>
    </row>
    <row r="383">
      <c r="A383" s="2" t="n">
        <v>45002</v>
      </c>
      <c r="B383" s="3" t="n">
        <v>17100.05</v>
      </c>
      <c r="C383" s="3" t="n">
        <v>17100.05</v>
      </c>
      <c r="D383" s="3" t="n">
        <v>1174.95</v>
      </c>
      <c r="E383" s="3" t="n">
        <v>1147.92</v>
      </c>
      <c r="F383" s="4">
        <f>C383/C382-1</f>
        <v/>
      </c>
      <c r="G383" s="4">
        <f>E383/E382-1</f>
        <v/>
      </c>
    </row>
    <row r="384">
      <c r="A384" s="2" t="n">
        <v>45005</v>
      </c>
      <c r="B384" s="3" t="n">
        <v>16988.4</v>
      </c>
      <c r="C384" s="3" t="n">
        <v>16988.4</v>
      </c>
      <c r="D384" s="3" t="n">
        <v>1186.2</v>
      </c>
      <c r="E384" s="3" t="n">
        <v>1158.91</v>
      </c>
      <c r="F384" s="4">
        <f>C384/C383-1</f>
        <v/>
      </c>
      <c r="G384" s="4">
        <f>E384/E383-1</f>
        <v/>
      </c>
    </row>
    <row r="385">
      <c r="A385" s="2" t="n">
        <v>45006</v>
      </c>
      <c r="B385" s="3" t="n">
        <v>17107.5</v>
      </c>
      <c r="C385" s="3" t="n">
        <v>17107.5</v>
      </c>
      <c r="D385" s="3" t="n">
        <v>1179.22</v>
      </c>
      <c r="E385" s="3" t="n">
        <v>1152.1</v>
      </c>
      <c r="F385" s="4">
        <f>C385/C384-1</f>
        <v/>
      </c>
      <c r="G385" s="4">
        <f>E385/E384-1</f>
        <v/>
      </c>
    </row>
    <row r="386">
      <c r="A386" s="2" t="n">
        <v>45007</v>
      </c>
      <c r="B386" s="3" t="n">
        <v>17151.9</v>
      </c>
      <c r="C386" s="3" t="n">
        <v>17151.9</v>
      </c>
      <c r="D386" s="3" t="n">
        <v>1188.53</v>
      </c>
      <c r="E386" s="3" t="n">
        <v>1161.18</v>
      </c>
      <c r="F386" s="4">
        <f>C386/C385-1</f>
        <v/>
      </c>
      <c r="G386" s="4">
        <f>E386/E385-1</f>
        <v/>
      </c>
    </row>
    <row r="387">
      <c r="A387" s="2" t="n">
        <v>45008</v>
      </c>
      <c r="B387" s="3" t="n">
        <v>17076.9</v>
      </c>
      <c r="C387" s="3" t="n">
        <v>17076.9</v>
      </c>
      <c r="D387" s="3" t="n">
        <v>1184.05</v>
      </c>
      <c r="E387" s="3" t="n">
        <v>1156.81</v>
      </c>
      <c r="F387" s="4">
        <f>C387/C386-1</f>
        <v/>
      </c>
      <c r="G387" s="4">
        <f>E387/E386-1</f>
        <v/>
      </c>
    </row>
    <row r="388">
      <c r="A388" s="2" t="n">
        <v>45009</v>
      </c>
      <c r="B388" s="3" t="n">
        <v>16945.05</v>
      </c>
      <c r="C388" s="3" t="n">
        <v>16945.05</v>
      </c>
      <c r="D388" s="3" t="n">
        <v>1182.28</v>
      </c>
      <c r="E388" s="3" t="n">
        <v>1155.08</v>
      </c>
      <c r="F388" s="4">
        <f>C388/C387-1</f>
        <v/>
      </c>
      <c r="G388" s="4">
        <f>E388/E387-1</f>
        <v/>
      </c>
    </row>
    <row r="389">
      <c r="A389" s="2" t="n">
        <v>45012</v>
      </c>
      <c r="B389" s="3" t="n">
        <v>16985.7</v>
      </c>
      <c r="C389" s="3" t="n">
        <v>16985.7</v>
      </c>
      <c r="D389" s="3" t="n">
        <v>1176.03</v>
      </c>
      <c r="E389" s="3" t="n">
        <v>1148.97</v>
      </c>
      <c r="F389" s="4">
        <f>C389/C388-1</f>
        <v/>
      </c>
      <c r="G389" s="4">
        <f>E389/E388-1</f>
        <v/>
      </c>
    </row>
    <row r="390">
      <c r="A390" s="2" t="n">
        <v>45013</v>
      </c>
      <c r="B390" s="3" t="n">
        <v>16951.7</v>
      </c>
      <c r="C390" s="3" t="n">
        <v>16951.7</v>
      </c>
      <c r="D390" s="3" t="n">
        <v>1168.03</v>
      </c>
      <c r="E390" s="3" t="n">
        <v>1141.15</v>
      </c>
      <c r="F390" s="4">
        <f>C390/C389-1</f>
        <v/>
      </c>
      <c r="G390" s="4">
        <f>E390/E389-1</f>
        <v/>
      </c>
    </row>
    <row r="391">
      <c r="A391" s="2" t="n">
        <v>45014</v>
      </c>
      <c r="B391" s="3" t="n">
        <v>17080.7</v>
      </c>
      <c r="C391" s="3" t="n">
        <v>17080.7</v>
      </c>
      <c r="D391" s="3" t="n">
        <v>1157.6</v>
      </c>
      <c r="E391" s="3" t="n">
        <v>1130.97</v>
      </c>
      <c r="F391" s="4">
        <f>C391/C390-1</f>
        <v/>
      </c>
      <c r="G391" s="4">
        <f>E391/E390-1</f>
        <v/>
      </c>
    </row>
    <row r="392">
      <c r="A392" s="2" t="n">
        <v>45016</v>
      </c>
      <c r="B392" s="3" t="n">
        <v>17359.75</v>
      </c>
      <c r="C392" s="3" t="n">
        <v>17359.75</v>
      </c>
      <c r="D392" s="3" t="n">
        <v>1176.5</v>
      </c>
      <c r="E392" s="3" t="n">
        <v>1149.43</v>
      </c>
      <c r="F392" s="4">
        <f>C392/C391-1</f>
        <v/>
      </c>
      <c r="G392" s="4">
        <f>E392/E391-1</f>
        <v/>
      </c>
    </row>
    <row r="393">
      <c r="A393" s="2" t="n">
        <v>45019</v>
      </c>
      <c r="B393" s="3" t="n">
        <v>17398.05</v>
      </c>
      <c r="C393" s="3" t="n">
        <v>17398.05</v>
      </c>
      <c r="D393" s="3" t="n">
        <v>1163.8</v>
      </c>
      <c r="E393" s="3" t="n">
        <v>1137.03</v>
      </c>
      <c r="F393" s="4">
        <f>C393/C392-1</f>
        <v/>
      </c>
      <c r="G393" s="4">
        <f>E393/E392-1</f>
        <v/>
      </c>
    </row>
    <row r="394">
      <c r="A394" s="2" t="n">
        <v>45021</v>
      </c>
      <c r="B394" s="3" t="n">
        <v>17557.05</v>
      </c>
      <c r="C394" s="3" t="n">
        <v>17557.05</v>
      </c>
      <c r="D394" s="3" t="n">
        <v>1161.22</v>
      </c>
      <c r="E394" s="3" t="n">
        <v>1134.51</v>
      </c>
      <c r="F394" s="4">
        <f>C394/C393-1</f>
        <v/>
      </c>
      <c r="G394" s="4">
        <f>E394/E393-1</f>
        <v/>
      </c>
    </row>
    <row r="395">
      <c r="A395" s="2" t="n">
        <v>45022</v>
      </c>
      <c r="B395" s="3" t="n">
        <v>17599.15</v>
      </c>
      <c r="C395" s="3" t="n">
        <v>17599.15</v>
      </c>
      <c r="D395" s="3" t="n">
        <v>1166.03</v>
      </c>
      <c r="E395" s="3" t="n">
        <v>1139.2</v>
      </c>
      <c r="F395" s="4">
        <f>C395/C394-1</f>
        <v/>
      </c>
      <c r="G395" s="4">
        <f>E395/E394-1</f>
        <v/>
      </c>
    </row>
    <row r="396">
      <c r="A396" s="2" t="n">
        <v>45026</v>
      </c>
      <c r="B396" s="3" t="n">
        <v>17624.05</v>
      </c>
      <c r="C396" s="3" t="n">
        <v>17624.05</v>
      </c>
      <c r="D396" s="3" t="n">
        <v>1177.85</v>
      </c>
      <c r="E396" s="3" t="n">
        <v>1150.75</v>
      </c>
      <c r="F396" s="4">
        <f>C396/C395-1</f>
        <v/>
      </c>
      <c r="G396" s="4">
        <f>E396/E395-1</f>
        <v/>
      </c>
    </row>
    <row r="397">
      <c r="A397" s="2" t="n">
        <v>45027</v>
      </c>
      <c r="B397" s="3" t="n">
        <v>17722.3</v>
      </c>
      <c r="C397" s="3" t="n">
        <v>17722.3</v>
      </c>
      <c r="D397" s="3" t="n">
        <v>1173.07</v>
      </c>
      <c r="E397" s="3" t="n">
        <v>1146.09</v>
      </c>
      <c r="F397" s="4">
        <f>C397/C396-1</f>
        <v/>
      </c>
      <c r="G397" s="4">
        <f>E397/E396-1</f>
        <v/>
      </c>
    </row>
    <row r="398">
      <c r="A398" s="2" t="n">
        <v>45028</v>
      </c>
      <c r="B398" s="3" t="n">
        <v>17812.4</v>
      </c>
      <c r="C398" s="3" t="n">
        <v>17812.4</v>
      </c>
      <c r="D398" s="3" t="n">
        <v>1173.9</v>
      </c>
      <c r="E398" s="3" t="n">
        <v>1146.89</v>
      </c>
      <c r="F398" s="4">
        <f>C398/C397-1</f>
        <v/>
      </c>
      <c r="G398" s="4">
        <f>E398/E397-1</f>
        <v/>
      </c>
    </row>
    <row r="399">
      <c r="A399" s="2" t="n">
        <v>45029</v>
      </c>
      <c r="B399" s="3" t="n">
        <v>17828</v>
      </c>
      <c r="C399" s="3" t="n">
        <v>17828</v>
      </c>
      <c r="D399" s="3" t="n">
        <v>1175.1</v>
      </c>
      <c r="E399" s="3" t="n">
        <v>1148.07</v>
      </c>
      <c r="F399" s="4">
        <f>C399/C398-1</f>
        <v/>
      </c>
      <c r="G399" s="4">
        <f>E399/E398-1</f>
        <v/>
      </c>
    </row>
    <row r="400">
      <c r="A400" s="2" t="n">
        <v>45033</v>
      </c>
      <c r="B400" s="3" t="n">
        <v>17706.85</v>
      </c>
      <c r="C400" s="3" t="n">
        <v>17706.85</v>
      </c>
      <c r="D400" s="3" t="n">
        <v>1184.85</v>
      </c>
      <c r="E400" s="3" t="n">
        <v>1157.59</v>
      </c>
      <c r="F400" s="4">
        <f>C400/C399-1</f>
        <v/>
      </c>
      <c r="G400" s="4">
        <f>E400/E399-1</f>
        <v/>
      </c>
    </row>
    <row r="401">
      <c r="A401" s="2" t="n">
        <v>45034</v>
      </c>
      <c r="B401" s="3" t="n">
        <v>17660.15</v>
      </c>
      <c r="C401" s="3" t="n">
        <v>17660.15</v>
      </c>
      <c r="D401" s="3" t="n">
        <v>1216.25</v>
      </c>
      <c r="E401" s="3" t="n">
        <v>1188.27</v>
      </c>
      <c r="F401" s="4">
        <f>C401/C400-1</f>
        <v/>
      </c>
      <c r="G401" s="4">
        <f>E401/E400-1</f>
        <v/>
      </c>
    </row>
    <row r="402">
      <c r="A402" s="2" t="n">
        <v>45035</v>
      </c>
      <c r="B402" s="3" t="n">
        <v>17618.75</v>
      </c>
      <c r="C402" s="3" t="n">
        <v>17618.75</v>
      </c>
      <c r="D402" s="3" t="n">
        <v>1204.3</v>
      </c>
      <c r="E402" s="3" t="n">
        <v>1176.59</v>
      </c>
      <c r="F402" s="4">
        <f>C402/C401-1</f>
        <v/>
      </c>
      <c r="G402" s="4">
        <f>E402/E401-1</f>
        <v/>
      </c>
    </row>
    <row r="403">
      <c r="A403" s="2" t="n">
        <v>45036</v>
      </c>
      <c r="B403" s="3" t="n">
        <v>17624.45</v>
      </c>
      <c r="C403" s="3" t="n">
        <v>17624.45</v>
      </c>
      <c r="D403" s="3" t="n">
        <v>1204.05</v>
      </c>
      <c r="E403" s="3" t="n">
        <v>1176.35</v>
      </c>
      <c r="F403" s="4">
        <f>C403/C402-1</f>
        <v/>
      </c>
      <c r="G403" s="4">
        <f>E403/E402-1</f>
        <v/>
      </c>
    </row>
    <row r="404">
      <c r="A404" s="2" t="n">
        <v>45037</v>
      </c>
      <c r="B404" s="3" t="n">
        <v>17624.05</v>
      </c>
      <c r="C404" s="3" t="n">
        <v>17624.05</v>
      </c>
      <c r="D404" s="3" t="n">
        <v>1220.07</v>
      </c>
      <c r="E404" s="3" t="n">
        <v>1192.01</v>
      </c>
      <c r="F404" s="4">
        <f>C404/C403-1</f>
        <v/>
      </c>
      <c r="G404" s="4">
        <f>E404/E403-1</f>
        <v/>
      </c>
    </row>
    <row r="405">
      <c r="A405" s="2" t="n">
        <v>45040</v>
      </c>
      <c r="B405" s="3" t="n">
        <v>17743.4</v>
      </c>
      <c r="C405" s="3" t="n">
        <v>17743.4</v>
      </c>
      <c r="D405" s="3" t="n">
        <v>1210.57</v>
      </c>
      <c r="E405" s="3" t="n">
        <v>1182.72</v>
      </c>
      <c r="F405" s="4">
        <f>C405/C404-1</f>
        <v/>
      </c>
      <c r="G405" s="4">
        <f>E405/E404-1</f>
        <v/>
      </c>
    </row>
    <row r="406">
      <c r="A406" s="2" t="n">
        <v>45041</v>
      </c>
      <c r="B406" s="3" t="n">
        <v>17769.25</v>
      </c>
      <c r="C406" s="3" t="n">
        <v>17769.25</v>
      </c>
      <c r="D406" s="3" t="n">
        <v>1205.68</v>
      </c>
      <c r="E406" s="3" t="n">
        <v>1177.94</v>
      </c>
      <c r="F406" s="4">
        <f>C406/C405-1</f>
        <v/>
      </c>
      <c r="G406" s="4">
        <f>E406/E405-1</f>
        <v/>
      </c>
    </row>
    <row r="407">
      <c r="A407" s="2" t="n">
        <v>45042</v>
      </c>
      <c r="B407" s="3" t="n">
        <v>17813.6</v>
      </c>
      <c r="C407" s="3" t="n">
        <v>17813.6</v>
      </c>
      <c r="D407" s="3" t="n">
        <v>1205.88</v>
      </c>
      <c r="E407" s="3" t="n">
        <v>1178.13</v>
      </c>
      <c r="F407" s="4">
        <f>C407/C406-1</f>
        <v/>
      </c>
      <c r="G407" s="4">
        <f>E407/E406-1</f>
        <v/>
      </c>
    </row>
    <row r="408">
      <c r="A408" s="2" t="n">
        <v>45043</v>
      </c>
      <c r="B408" s="3" t="n">
        <v>17915.05</v>
      </c>
      <c r="C408" s="3" t="n">
        <v>17915.05</v>
      </c>
      <c r="D408" s="3" t="n">
        <v>1194.6</v>
      </c>
      <c r="E408" s="3" t="n">
        <v>1167.12</v>
      </c>
      <c r="F408" s="4">
        <f>C408/C407-1</f>
        <v/>
      </c>
      <c r="G408" s="4">
        <f>E408/E407-1</f>
        <v/>
      </c>
    </row>
    <row r="409">
      <c r="A409" s="2" t="n">
        <v>45044</v>
      </c>
      <c r="B409" s="3" t="n">
        <v>18065</v>
      </c>
      <c r="C409" s="3" t="n">
        <v>18065</v>
      </c>
      <c r="D409" s="3" t="n">
        <v>1209.62</v>
      </c>
      <c r="E409" s="3" t="n">
        <v>1181.8</v>
      </c>
      <c r="F409" s="4">
        <f>C409/C408-1</f>
        <v/>
      </c>
      <c r="G409" s="4">
        <f>E409/E408-1</f>
        <v/>
      </c>
    </row>
    <row r="410">
      <c r="A410" s="2" t="n">
        <v>45048</v>
      </c>
      <c r="B410" s="3" t="n">
        <v>18147.65</v>
      </c>
      <c r="C410" s="3" t="n">
        <v>18147.65</v>
      </c>
      <c r="D410" s="3" t="n">
        <v>1209.88</v>
      </c>
      <c r="E410" s="3" t="n">
        <v>1182.04</v>
      </c>
      <c r="F410" s="4">
        <f>C410/C409-1</f>
        <v/>
      </c>
      <c r="G410" s="4">
        <f>E410/E409-1</f>
        <v/>
      </c>
    </row>
    <row r="411">
      <c r="A411" s="2" t="n">
        <v>45049</v>
      </c>
      <c r="B411" s="3" t="n">
        <v>18089.85</v>
      </c>
      <c r="C411" s="3" t="n">
        <v>18089.85</v>
      </c>
      <c r="D411" s="3" t="n">
        <v>1231.97</v>
      </c>
      <c r="E411" s="3" t="n">
        <v>1203.63</v>
      </c>
      <c r="F411" s="4">
        <f>C411/C410-1</f>
        <v/>
      </c>
      <c r="G411" s="4">
        <f>E411/E410-1</f>
        <v/>
      </c>
    </row>
    <row r="412">
      <c r="A412" s="2" t="n">
        <v>45050</v>
      </c>
      <c r="B412" s="3" t="n">
        <v>18255.8</v>
      </c>
      <c r="C412" s="3" t="n">
        <v>18255.8</v>
      </c>
      <c r="D412" s="3" t="n">
        <v>1232.57</v>
      </c>
      <c r="E412" s="3" t="n">
        <v>1204.22</v>
      </c>
      <c r="F412" s="4">
        <f>C412/C411-1</f>
        <v/>
      </c>
      <c r="G412" s="4">
        <f>E412/E411-1</f>
        <v/>
      </c>
    </row>
    <row r="413">
      <c r="A413" s="2" t="n">
        <v>45051</v>
      </c>
      <c r="B413" s="3" t="n">
        <v>18069</v>
      </c>
      <c r="C413" s="3" t="n">
        <v>18069</v>
      </c>
      <c r="D413" s="3" t="n">
        <v>1236.05</v>
      </c>
      <c r="E413" s="3" t="n">
        <v>1207.61</v>
      </c>
      <c r="F413" s="4">
        <f>C413/C412-1</f>
        <v/>
      </c>
      <c r="G413" s="4">
        <f>E413/E412-1</f>
        <v/>
      </c>
    </row>
    <row r="414">
      <c r="A414" s="2" t="n">
        <v>45054</v>
      </c>
      <c r="B414" s="3" t="n">
        <v>18264.4</v>
      </c>
      <c r="C414" s="3" t="n">
        <v>18264.4</v>
      </c>
      <c r="D414" s="3" t="n">
        <v>1225.35</v>
      </c>
      <c r="E414" s="3" t="n">
        <v>1197.16</v>
      </c>
      <c r="F414" s="4">
        <f>C414/C413-1</f>
        <v/>
      </c>
      <c r="G414" s="4">
        <f>E414/E413-1</f>
        <v/>
      </c>
    </row>
    <row r="415">
      <c r="A415" s="2" t="n">
        <v>45055</v>
      </c>
      <c r="B415" s="3" t="n">
        <v>18265.95</v>
      </c>
      <c r="C415" s="3" t="n">
        <v>18265.95</v>
      </c>
      <c r="D415" s="3" t="n">
        <v>1235.88</v>
      </c>
      <c r="E415" s="3" t="n">
        <v>1207.44</v>
      </c>
      <c r="F415" s="4">
        <f>C415/C414-1</f>
        <v/>
      </c>
      <c r="G415" s="4">
        <f>E415/E414-1</f>
        <v/>
      </c>
    </row>
    <row r="416">
      <c r="A416" s="2" t="n">
        <v>45056</v>
      </c>
      <c r="B416" s="3" t="n">
        <v>18315.1</v>
      </c>
      <c r="C416" s="3" t="n">
        <v>18315.1</v>
      </c>
      <c r="D416" s="3" t="n">
        <v>1254.7</v>
      </c>
      <c r="E416" s="3" t="n">
        <v>1225.83</v>
      </c>
      <c r="F416" s="4">
        <f>C416/C415-1</f>
        <v/>
      </c>
      <c r="G416" s="4">
        <f>E416/E415-1</f>
        <v/>
      </c>
    </row>
    <row r="417">
      <c r="A417" s="2" t="n">
        <v>45057</v>
      </c>
      <c r="B417" s="3" t="n">
        <v>18297</v>
      </c>
      <c r="C417" s="3" t="n">
        <v>18297</v>
      </c>
      <c r="D417" s="3" t="n">
        <v>1283.22</v>
      </c>
      <c r="E417" s="3" t="n">
        <v>1253.7</v>
      </c>
      <c r="F417" s="4">
        <f>C417/C416-1</f>
        <v/>
      </c>
      <c r="G417" s="4">
        <f>E417/E416-1</f>
        <v/>
      </c>
    </row>
    <row r="418">
      <c r="A418" s="2" t="n">
        <v>45058</v>
      </c>
      <c r="B418" s="3" t="n">
        <v>18314.8</v>
      </c>
      <c r="C418" s="3" t="n">
        <v>18314.8</v>
      </c>
      <c r="D418" s="3" t="n">
        <v>1293.62</v>
      </c>
      <c r="E418" s="3" t="n">
        <v>1263.86</v>
      </c>
      <c r="F418" s="4">
        <f>C418/C417-1</f>
        <v/>
      </c>
      <c r="G418" s="4">
        <f>E418/E417-1</f>
        <v/>
      </c>
    </row>
    <row r="419">
      <c r="A419" s="2" t="n">
        <v>45061</v>
      </c>
      <c r="B419" s="3" t="n">
        <v>18398.85</v>
      </c>
      <c r="C419" s="3" t="n">
        <v>18398.85</v>
      </c>
      <c r="D419" s="3" t="n">
        <v>1275.18</v>
      </c>
      <c r="E419" s="3" t="n">
        <v>1245.84</v>
      </c>
      <c r="F419" s="4">
        <f>C419/C418-1</f>
        <v/>
      </c>
      <c r="G419" s="4">
        <f>E419/E418-1</f>
        <v/>
      </c>
    </row>
    <row r="420">
      <c r="A420" s="2" t="n">
        <v>45062</v>
      </c>
      <c r="B420" s="3" t="n">
        <v>18286.5</v>
      </c>
      <c r="C420" s="3" t="n">
        <v>18286.5</v>
      </c>
      <c r="D420" s="3" t="n">
        <v>1272.1</v>
      </c>
      <c r="E420" s="3" t="n">
        <v>1242.83</v>
      </c>
      <c r="F420" s="4">
        <f>C420/C419-1</f>
        <v/>
      </c>
      <c r="G420" s="4">
        <f>E420/E419-1</f>
        <v/>
      </c>
    </row>
    <row r="421">
      <c r="A421" s="2" t="n">
        <v>45063</v>
      </c>
      <c r="B421" s="3" t="n">
        <v>18181.75</v>
      </c>
      <c r="C421" s="3" t="n">
        <v>18181.75</v>
      </c>
      <c r="D421" s="3" t="n">
        <v>1272.55</v>
      </c>
      <c r="E421" s="3" t="n">
        <v>1243.27</v>
      </c>
      <c r="F421" s="4">
        <f>C421/C420-1</f>
        <v/>
      </c>
      <c r="G421" s="4">
        <f>E421/E420-1</f>
        <v/>
      </c>
    </row>
    <row r="422">
      <c r="A422" s="2" t="n">
        <v>45064</v>
      </c>
      <c r="B422" s="3" t="n">
        <v>18129.95</v>
      </c>
      <c r="C422" s="3" t="n">
        <v>18129.95</v>
      </c>
      <c r="D422" s="3" t="n">
        <v>1276.12</v>
      </c>
      <c r="E422" s="3" t="n">
        <v>1246.77</v>
      </c>
      <c r="F422" s="4">
        <f>C422/C421-1</f>
        <v/>
      </c>
      <c r="G422" s="4">
        <f>E422/E421-1</f>
        <v/>
      </c>
    </row>
    <row r="423">
      <c r="A423" s="2" t="n">
        <v>45065</v>
      </c>
      <c r="B423" s="3" t="n">
        <v>18203.4</v>
      </c>
      <c r="C423" s="3" t="n">
        <v>18203.4</v>
      </c>
      <c r="D423" s="3" t="n">
        <v>1283.3</v>
      </c>
      <c r="E423" s="3" t="n">
        <v>1253.78</v>
      </c>
      <c r="F423" s="4">
        <f>C423/C422-1</f>
        <v/>
      </c>
      <c r="G423" s="4">
        <f>E423/E422-1</f>
        <v/>
      </c>
    </row>
    <row r="424">
      <c r="A424" s="2" t="n">
        <v>45068</v>
      </c>
      <c r="B424" s="3" t="n">
        <v>18314.4</v>
      </c>
      <c r="C424" s="3" t="n">
        <v>18314.4</v>
      </c>
      <c r="D424" s="3" t="n">
        <v>1267.6</v>
      </c>
      <c r="E424" s="3" t="n">
        <v>1238.44</v>
      </c>
      <c r="F424" s="4">
        <f>C424/C423-1</f>
        <v/>
      </c>
      <c r="G424" s="4">
        <f>E424/E423-1</f>
        <v/>
      </c>
    </row>
    <row r="425">
      <c r="A425" s="2" t="n">
        <v>45069</v>
      </c>
      <c r="B425" s="3" t="n">
        <v>18348</v>
      </c>
      <c r="C425" s="3" t="n">
        <v>18348</v>
      </c>
      <c r="D425" s="3" t="n">
        <v>1266.65</v>
      </c>
      <c r="E425" s="3" t="n">
        <v>1237.51</v>
      </c>
      <c r="F425" s="4">
        <f>C425/C424-1</f>
        <v/>
      </c>
      <c r="G425" s="4">
        <f>E425/E424-1</f>
        <v/>
      </c>
    </row>
    <row r="426">
      <c r="A426" s="2" t="n">
        <v>45070</v>
      </c>
      <c r="B426" s="3" t="n">
        <v>18285.4</v>
      </c>
      <c r="C426" s="3" t="n">
        <v>18285.4</v>
      </c>
      <c r="D426" s="3" t="n">
        <v>1263.32</v>
      </c>
      <c r="E426" s="3" t="n">
        <v>1234.26</v>
      </c>
      <c r="F426" s="4">
        <f>C426/C425-1</f>
        <v/>
      </c>
      <c r="G426" s="4">
        <f>E426/E425-1</f>
        <v/>
      </c>
    </row>
    <row r="427">
      <c r="A427" s="2" t="n">
        <v>45071</v>
      </c>
      <c r="B427" s="3" t="n">
        <v>18321.15</v>
      </c>
      <c r="C427" s="3" t="n">
        <v>18321.15</v>
      </c>
      <c r="D427" s="3" t="n">
        <v>1261.62</v>
      </c>
      <c r="E427" s="3" t="n">
        <v>1232.6</v>
      </c>
      <c r="F427" s="4">
        <f>C427/C426-1</f>
        <v/>
      </c>
      <c r="G427" s="4">
        <f>E427/E426-1</f>
        <v/>
      </c>
    </row>
    <row r="428">
      <c r="A428" s="2" t="n">
        <v>45072</v>
      </c>
      <c r="B428" s="3" t="n">
        <v>18499.35</v>
      </c>
      <c r="C428" s="3" t="n">
        <v>18499.35</v>
      </c>
      <c r="D428" s="3" t="n">
        <v>1293.07</v>
      </c>
      <c r="E428" s="3" t="n">
        <v>1263.33</v>
      </c>
      <c r="F428" s="4">
        <f>C428/C427-1</f>
        <v/>
      </c>
      <c r="G428" s="4">
        <f>E428/E427-1</f>
        <v/>
      </c>
    </row>
    <row r="429">
      <c r="A429" s="2" t="n">
        <v>45075</v>
      </c>
      <c r="B429" s="3" t="n">
        <v>18598.65</v>
      </c>
      <c r="C429" s="3" t="n">
        <v>18598.65</v>
      </c>
      <c r="D429" s="3" t="n">
        <v>1291.47</v>
      </c>
      <c r="E429" s="3" t="n">
        <v>1261.76</v>
      </c>
      <c r="F429" s="4">
        <f>C429/C428-1</f>
        <v/>
      </c>
      <c r="G429" s="4">
        <f>E429/E428-1</f>
        <v/>
      </c>
    </row>
    <row r="430">
      <c r="A430" s="2" t="n">
        <v>45076</v>
      </c>
      <c r="B430" s="3" t="n">
        <v>18633.85</v>
      </c>
      <c r="C430" s="3" t="n">
        <v>18633.85</v>
      </c>
      <c r="D430" s="3" t="n">
        <v>1297.1</v>
      </c>
      <c r="E430" s="3" t="n">
        <v>1267.26</v>
      </c>
      <c r="F430" s="4">
        <f>C430/C429-1</f>
        <v/>
      </c>
      <c r="G430" s="4">
        <f>E430/E429-1</f>
        <v/>
      </c>
    </row>
    <row r="431">
      <c r="A431" s="2" t="n">
        <v>45077</v>
      </c>
      <c r="B431" s="3" t="n">
        <v>18534.4</v>
      </c>
      <c r="C431" s="3" t="n">
        <v>18534.4</v>
      </c>
      <c r="D431" s="3" t="n">
        <v>1303.93</v>
      </c>
      <c r="E431" s="3" t="n">
        <v>1273.93</v>
      </c>
      <c r="F431" s="4">
        <f>C431/C430-1</f>
        <v/>
      </c>
      <c r="G431" s="4">
        <f>E431/E430-1</f>
        <v/>
      </c>
    </row>
    <row r="432">
      <c r="A432" s="2" t="n">
        <v>45078</v>
      </c>
      <c r="B432" s="3" t="n">
        <v>18487.75</v>
      </c>
      <c r="C432" s="3" t="n">
        <v>18487.75</v>
      </c>
      <c r="D432" s="3" t="n">
        <v>1325.78</v>
      </c>
      <c r="E432" s="3" t="n">
        <v>1295.27</v>
      </c>
      <c r="F432" s="4">
        <f>C432/C431-1</f>
        <v/>
      </c>
      <c r="G432" s="4">
        <f>E432/E431-1</f>
        <v/>
      </c>
    </row>
    <row r="433">
      <c r="A433" s="2" t="n">
        <v>45079</v>
      </c>
      <c r="B433" s="3" t="n">
        <v>18534.1</v>
      </c>
      <c r="C433" s="3" t="n">
        <v>18534.1</v>
      </c>
      <c r="D433" s="3" t="n">
        <v>1316.22</v>
      </c>
      <c r="E433" s="3" t="n">
        <v>1285.94</v>
      </c>
      <c r="F433" s="4">
        <f>C433/C432-1</f>
        <v/>
      </c>
      <c r="G433" s="4">
        <f>E433/E432-1</f>
        <v/>
      </c>
    </row>
    <row r="434">
      <c r="A434" s="2" t="n">
        <v>45082</v>
      </c>
      <c r="B434" s="3" t="n">
        <v>18593.85</v>
      </c>
      <c r="C434" s="3" t="n">
        <v>18593.85</v>
      </c>
      <c r="D434" s="3" t="n">
        <v>1319.28</v>
      </c>
      <c r="E434" s="3" t="n">
        <v>1288.92</v>
      </c>
      <c r="F434" s="4">
        <f>C434/C433-1</f>
        <v/>
      </c>
      <c r="G434" s="4">
        <f>E434/E433-1</f>
        <v/>
      </c>
    </row>
    <row r="435">
      <c r="A435" s="2" t="n">
        <v>45083</v>
      </c>
      <c r="B435" s="3" t="n">
        <v>18599</v>
      </c>
      <c r="C435" s="3" t="n">
        <v>18599</v>
      </c>
      <c r="D435" s="3" t="n">
        <v>1312.05</v>
      </c>
      <c r="E435" s="3" t="n">
        <v>1281.87</v>
      </c>
      <c r="F435" s="4">
        <f>C435/C434-1</f>
        <v/>
      </c>
      <c r="G435" s="4">
        <f>E435/E434-1</f>
        <v/>
      </c>
    </row>
    <row r="436">
      <c r="A436" s="2" t="n">
        <v>45084</v>
      </c>
      <c r="B436" s="3" t="n">
        <v>18726.4</v>
      </c>
      <c r="C436" s="3" t="n">
        <v>18726.4</v>
      </c>
      <c r="D436" s="3" t="n">
        <v>1327.43</v>
      </c>
      <c r="E436" s="3" t="n">
        <v>1296.89</v>
      </c>
      <c r="F436" s="4">
        <f>C436/C435-1</f>
        <v/>
      </c>
      <c r="G436" s="4">
        <f>E436/E435-1</f>
        <v/>
      </c>
    </row>
    <row r="437">
      <c r="A437" s="2" t="n">
        <v>45085</v>
      </c>
      <c r="B437" s="3" t="n">
        <v>18634.55</v>
      </c>
      <c r="C437" s="3" t="n">
        <v>18634.55</v>
      </c>
      <c r="D437" s="3" t="n">
        <v>1317.22</v>
      </c>
      <c r="E437" s="3" t="n">
        <v>1286.92</v>
      </c>
      <c r="F437" s="4">
        <f>C437/C436-1</f>
        <v/>
      </c>
      <c r="G437" s="4">
        <f>E437/E436-1</f>
        <v/>
      </c>
    </row>
    <row r="438">
      <c r="A438" s="2" t="n">
        <v>45086</v>
      </c>
      <c r="B438" s="3" t="n">
        <v>18563.4</v>
      </c>
      <c r="C438" s="3" t="n">
        <v>18563.4</v>
      </c>
      <c r="D438" s="3" t="n">
        <v>1307.47</v>
      </c>
      <c r="E438" s="3" t="n">
        <v>1277.4</v>
      </c>
      <c r="F438" s="4">
        <f>C438/C437-1</f>
        <v/>
      </c>
      <c r="G438" s="4">
        <f>E438/E437-1</f>
        <v/>
      </c>
    </row>
    <row r="439">
      <c r="A439" s="2" t="n">
        <v>45089</v>
      </c>
      <c r="B439" s="3" t="n">
        <v>18601.5</v>
      </c>
      <c r="C439" s="3" t="n">
        <v>18601.5</v>
      </c>
      <c r="D439" s="3" t="n">
        <v>1320.38</v>
      </c>
      <c r="E439" s="3" t="n">
        <v>1290</v>
      </c>
      <c r="F439" s="4">
        <f>C439/C438-1</f>
        <v/>
      </c>
      <c r="G439" s="4">
        <f>E439/E438-1</f>
        <v/>
      </c>
    </row>
    <row r="440">
      <c r="A440" s="2" t="n">
        <v>45090</v>
      </c>
      <c r="B440" s="3" t="n">
        <v>18716.15</v>
      </c>
      <c r="C440" s="3" t="n">
        <v>18716.15</v>
      </c>
      <c r="D440" s="3" t="n">
        <v>1343.32</v>
      </c>
      <c r="E440" s="3" t="n">
        <v>1312.42</v>
      </c>
      <c r="F440" s="4">
        <f>C440/C439-1</f>
        <v/>
      </c>
      <c r="G440" s="4">
        <f>E440/E439-1</f>
        <v/>
      </c>
    </row>
    <row r="441">
      <c r="A441" s="2" t="n">
        <v>45091</v>
      </c>
      <c r="B441" s="3" t="n">
        <v>18755.9</v>
      </c>
      <c r="C441" s="3" t="n">
        <v>18755.9</v>
      </c>
      <c r="D441" s="3" t="n">
        <v>1346.55</v>
      </c>
      <c r="E441" s="3" t="n">
        <v>1315.57</v>
      </c>
      <c r="F441" s="4">
        <f>C441/C440-1</f>
        <v/>
      </c>
      <c r="G441" s="4">
        <f>E441/E440-1</f>
        <v/>
      </c>
    </row>
    <row r="442">
      <c r="A442" s="2" t="n">
        <v>45092</v>
      </c>
      <c r="B442" s="3" t="n">
        <v>18688.1</v>
      </c>
      <c r="C442" s="3" t="n">
        <v>18688.1</v>
      </c>
      <c r="D442" s="3" t="n">
        <v>1340.35</v>
      </c>
      <c r="E442" s="3" t="n">
        <v>1309.51</v>
      </c>
      <c r="F442" s="4">
        <f>C442/C441-1</f>
        <v/>
      </c>
      <c r="G442" s="4">
        <f>E442/E441-1</f>
        <v/>
      </c>
    </row>
    <row r="443">
      <c r="A443" s="2" t="n">
        <v>45093</v>
      </c>
      <c r="B443" s="3" t="n">
        <v>18826</v>
      </c>
      <c r="C443" s="3" t="n">
        <v>18826</v>
      </c>
      <c r="D443" s="3" t="n">
        <v>1348.85</v>
      </c>
      <c r="E443" s="3" t="n">
        <v>1317.82</v>
      </c>
      <c r="F443" s="4">
        <f>C443/C442-1</f>
        <v/>
      </c>
      <c r="G443" s="4">
        <f>E443/E442-1</f>
        <v/>
      </c>
    </row>
    <row r="444">
      <c r="A444" s="2" t="n">
        <v>45096</v>
      </c>
      <c r="B444" s="3" t="n">
        <v>18755.45</v>
      </c>
      <c r="C444" s="3" t="n">
        <v>18755.45</v>
      </c>
      <c r="D444" s="3" t="n">
        <v>1336.65</v>
      </c>
      <c r="E444" s="3" t="n">
        <v>1305.9</v>
      </c>
      <c r="F444" s="4">
        <f>C444/C443-1</f>
        <v/>
      </c>
      <c r="G444" s="4">
        <f>E444/E443-1</f>
        <v/>
      </c>
    </row>
    <row r="445">
      <c r="A445" s="2" t="n">
        <v>45097</v>
      </c>
      <c r="B445" s="3" t="n">
        <v>18816.7</v>
      </c>
      <c r="C445" s="3" t="n">
        <v>18816.7</v>
      </c>
      <c r="D445" s="3" t="n">
        <v>1339.25</v>
      </c>
      <c r="E445" s="3" t="n">
        <v>1308.44</v>
      </c>
      <c r="F445" s="4">
        <f>C445/C444-1</f>
        <v/>
      </c>
      <c r="G445" s="4">
        <f>E445/E444-1</f>
        <v/>
      </c>
    </row>
    <row r="446">
      <c r="A446" s="2" t="n">
        <v>45098</v>
      </c>
      <c r="B446" s="3" t="n">
        <v>18856.85</v>
      </c>
      <c r="C446" s="3" t="n">
        <v>18856.85</v>
      </c>
      <c r="D446" s="3" t="n">
        <v>1335.62</v>
      </c>
      <c r="E446" s="3" t="n">
        <v>1304.9</v>
      </c>
      <c r="F446" s="4">
        <f>C446/C445-1</f>
        <v/>
      </c>
      <c r="G446" s="4">
        <f>E446/E445-1</f>
        <v/>
      </c>
    </row>
    <row r="447">
      <c r="A447" s="2" t="n">
        <v>45099</v>
      </c>
      <c r="B447" s="3" t="n">
        <v>18771.25</v>
      </c>
      <c r="C447" s="3" t="n">
        <v>18771.25</v>
      </c>
      <c r="D447" s="3" t="n">
        <v>1318.15</v>
      </c>
      <c r="E447" s="3" t="n">
        <v>1287.83</v>
      </c>
      <c r="F447" s="4">
        <f>C447/C446-1</f>
        <v/>
      </c>
      <c r="G447" s="4">
        <f>E447/E446-1</f>
        <v/>
      </c>
    </row>
    <row r="448">
      <c r="A448" s="2" t="n">
        <v>45100</v>
      </c>
      <c r="B448" s="3" t="n">
        <v>18665.5</v>
      </c>
      <c r="C448" s="3" t="n">
        <v>18665.5</v>
      </c>
      <c r="D448" s="3" t="n">
        <v>1329.15</v>
      </c>
      <c r="E448" s="3" t="n">
        <v>1298.57</v>
      </c>
      <c r="F448" s="4">
        <f>C448/C447-1</f>
        <v/>
      </c>
      <c r="G448" s="4">
        <f>E448/E447-1</f>
        <v/>
      </c>
    </row>
    <row r="449">
      <c r="A449" s="2" t="n">
        <v>45103</v>
      </c>
      <c r="B449" s="3" t="n">
        <v>18691.2</v>
      </c>
      <c r="C449" s="3" t="n">
        <v>18691.2</v>
      </c>
      <c r="D449" s="3" t="n">
        <v>1315.45</v>
      </c>
      <c r="E449" s="3" t="n">
        <v>1285.19</v>
      </c>
      <c r="F449" s="4">
        <f>C449/C448-1</f>
        <v/>
      </c>
      <c r="G449" s="4">
        <f>E449/E448-1</f>
        <v/>
      </c>
    </row>
    <row r="450">
      <c r="A450" s="2" t="n">
        <v>45104</v>
      </c>
      <c r="B450" s="3" t="n">
        <v>18817.4</v>
      </c>
      <c r="C450" s="3" t="n">
        <v>18817.4</v>
      </c>
      <c r="D450" s="3" t="n">
        <v>1310.68</v>
      </c>
      <c r="E450" s="3" t="n">
        <v>1280.52</v>
      </c>
      <c r="F450" s="4">
        <f>C450/C449-1</f>
        <v/>
      </c>
      <c r="G450" s="4">
        <f>E450/E449-1</f>
        <v/>
      </c>
    </row>
    <row r="451">
      <c r="A451" s="2" t="n">
        <v>45105</v>
      </c>
      <c r="B451" s="3" t="n">
        <v>18972.1</v>
      </c>
      <c r="C451" s="3" t="n">
        <v>18972.1</v>
      </c>
      <c r="D451" s="3" t="n">
        <v>1299.32</v>
      </c>
      <c r="E451" s="3" t="n">
        <v>1269.43</v>
      </c>
      <c r="F451" s="4">
        <f>C451/C450-1</f>
        <v/>
      </c>
      <c r="G451" s="4">
        <f>E451/E450-1</f>
        <v/>
      </c>
    </row>
    <row r="452">
      <c r="A452" s="2" t="n">
        <v>45107</v>
      </c>
      <c r="B452" s="3" t="n">
        <v>19189.05</v>
      </c>
      <c r="C452" s="3" t="n">
        <v>19189.05</v>
      </c>
      <c r="D452" s="3" t="n">
        <v>1298.55</v>
      </c>
      <c r="E452" s="3" t="n">
        <v>1268.68</v>
      </c>
      <c r="F452" s="4">
        <f>C452/C451-1</f>
        <v/>
      </c>
      <c r="G452" s="4">
        <f>E452/E451-1</f>
        <v/>
      </c>
    </row>
    <row r="453">
      <c r="A453" s="2" t="n">
        <v>45110</v>
      </c>
      <c r="B453" s="3" t="n">
        <v>19322.55</v>
      </c>
      <c r="C453" s="3" t="n">
        <v>19322.55</v>
      </c>
      <c r="D453" s="3" t="n">
        <v>1285.72</v>
      </c>
      <c r="E453" s="3" t="n">
        <v>1256.15</v>
      </c>
      <c r="F453" s="4">
        <f>C453/C452-1</f>
        <v/>
      </c>
      <c r="G453" s="4">
        <f>E453/E452-1</f>
        <v/>
      </c>
    </row>
    <row r="454">
      <c r="A454" s="2" t="n">
        <v>45111</v>
      </c>
      <c r="B454" s="3" t="n">
        <v>19389</v>
      </c>
      <c r="C454" s="3" t="n">
        <v>19389</v>
      </c>
      <c r="D454" s="3" t="n">
        <v>1285.22</v>
      </c>
      <c r="E454" s="3" t="n">
        <v>1255.66</v>
      </c>
      <c r="F454" s="4">
        <f>C454/C453-1</f>
        <v/>
      </c>
      <c r="G454" s="4">
        <f>E454/E453-1</f>
        <v/>
      </c>
    </row>
    <row r="455">
      <c r="A455" s="2" t="n">
        <v>45112</v>
      </c>
      <c r="B455" s="3" t="n">
        <v>19398.5</v>
      </c>
      <c r="C455" s="3" t="n">
        <v>19398.5</v>
      </c>
      <c r="D455" s="3" t="n">
        <v>1304.43</v>
      </c>
      <c r="E455" s="3" t="n">
        <v>1274.42</v>
      </c>
      <c r="F455" s="4">
        <f>C455/C454-1</f>
        <v/>
      </c>
      <c r="G455" s="4">
        <f>E455/E454-1</f>
        <v/>
      </c>
    </row>
    <row r="456">
      <c r="A456" s="2" t="n">
        <v>45113</v>
      </c>
      <c r="B456" s="3" t="n">
        <v>19497.3</v>
      </c>
      <c r="C456" s="3" t="n">
        <v>19497.3</v>
      </c>
      <c r="D456" s="3" t="n">
        <v>1324.5</v>
      </c>
      <c r="E456" s="3" t="n">
        <v>1294.03</v>
      </c>
      <c r="F456" s="4">
        <f>C456/C455-1</f>
        <v/>
      </c>
      <c r="G456" s="4">
        <f>E456/E455-1</f>
        <v/>
      </c>
    </row>
    <row r="457">
      <c r="A457" s="2" t="n">
        <v>45114</v>
      </c>
      <c r="B457" s="3" t="n">
        <v>19331.8</v>
      </c>
      <c r="C457" s="3" t="n">
        <v>19331.8</v>
      </c>
      <c r="D457" s="3" t="n">
        <v>1306.47</v>
      </c>
      <c r="E457" s="3" t="n">
        <v>1276.42</v>
      </c>
      <c r="F457" s="4">
        <f>C457/C456-1</f>
        <v/>
      </c>
      <c r="G457" s="4">
        <f>E457/E456-1</f>
        <v/>
      </c>
    </row>
    <row r="458">
      <c r="A458" s="2" t="n">
        <v>45117</v>
      </c>
      <c r="B458" s="3" t="n">
        <v>19355.9</v>
      </c>
      <c r="C458" s="3" t="n">
        <v>19355.9</v>
      </c>
      <c r="D458" s="3" t="n">
        <v>1297.93</v>
      </c>
      <c r="E458" s="3" t="n">
        <v>1268.07</v>
      </c>
      <c r="F458" s="4">
        <f>C458/C457-1</f>
        <v/>
      </c>
      <c r="G458" s="4">
        <f>E458/E457-1</f>
        <v/>
      </c>
    </row>
    <row r="459">
      <c r="A459" s="2" t="n">
        <v>45118</v>
      </c>
      <c r="B459" s="3" t="n">
        <v>19439.4</v>
      </c>
      <c r="C459" s="3" t="n">
        <v>19439.4</v>
      </c>
      <c r="D459" s="3" t="n">
        <v>1319.43</v>
      </c>
      <c r="E459" s="3" t="n">
        <v>1289.07</v>
      </c>
      <c r="F459" s="4">
        <f>C459/C458-1</f>
        <v/>
      </c>
      <c r="G459" s="4">
        <f>E459/E458-1</f>
        <v/>
      </c>
    </row>
    <row r="460">
      <c r="A460" s="2" t="n">
        <v>45119</v>
      </c>
      <c r="B460" s="3" t="n">
        <v>19384.3</v>
      </c>
      <c r="C460" s="3" t="n">
        <v>19384.3</v>
      </c>
      <c r="D460" s="3" t="n">
        <v>1311.22</v>
      </c>
      <c r="E460" s="3" t="n">
        <v>1281.06</v>
      </c>
      <c r="F460" s="4">
        <f>C460/C459-1</f>
        <v/>
      </c>
      <c r="G460" s="4">
        <f>E460/E459-1</f>
        <v/>
      </c>
    </row>
    <row r="461">
      <c r="A461" s="2" t="n">
        <v>45120</v>
      </c>
      <c r="B461" s="3" t="n">
        <v>19413.75</v>
      </c>
      <c r="C461" s="3" t="n">
        <v>19413.75</v>
      </c>
      <c r="D461" s="3" t="n">
        <v>1309.1</v>
      </c>
      <c r="E461" s="3" t="n">
        <v>1278.98</v>
      </c>
      <c r="F461" s="4">
        <f>C461/C460-1</f>
        <v/>
      </c>
      <c r="G461" s="4">
        <f>E461/E460-1</f>
        <v/>
      </c>
    </row>
    <row r="462">
      <c r="A462" s="2" t="n">
        <v>45121</v>
      </c>
      <c r="B462" s="3" t="n">
        <v>19564.5</v>
      </c>
      <c r="C462" s="3" t="n">
        <v>19564.5</v>
      </c>
      <c r="D462" s="3" t="n">
        <v>1311.75</v>
      </c>
      <c r="E462" s="3" t="n">
        <v>1281.57</v>
      </c>
      <c r="F462" s="4">
        <f>C462/C461-1</f>
        <v/>
      </c>
      <c r="G462" s="4">
        <f>E462/E461-1</f>
        <v/>
      </c>
    </row>
    <row r="463">
      <c r="A463" s="2" t="n">
        <v>45124</v>
      </c>
      <c r="B463" s="3" t="n">
        <v>19711.45</v>
      </c>
      <c r="C463" s="3" t="n">
        <v>19711.45</v>
      </c>
      <c r="D463" s="3" t="n">
        <v>1319.8</v>
      </c>
      <c r="E463" s="3" t="n">
        <v>1289.44</v>
      </c>
      <c r="F463" s="4">
        <f>C463/C462-1</f>
        <v/>
      </c>
      <c r="G463" s="4">
        <f>E463/E462-1</f>
        <v/>
      </c>
    </row>
    <row r="464">
      <c r="A464" s="2" t="n">
        <v>45125</v>
      </c>
      <c r="B464" s="3" t="n">
        <v>19749.25</v>
      </c>
      <c r="C464" s="3" t="n">
        <v>19749.25</v>
      </c>
      <c r="D464" s="3" t="n">
        <v>1329.05</v>
      </c>
      <c r="E464" s="3" t="n">
        <v>1298.47</v>
      </c>
      <c r="F464" s="4">
        <f>C464/C463-1</f>
        <v/>
      </c>
      <c r="G464" s="4">
        <f>E464/E463-1</f>
        <v/>
      </c>
    </row>
    <row r="465">
      <c r="A465" s="2" t="n">
        <v>45126</v>
      </c>
      <c r="B465" s="3" t="n">
        <v>19833.15</v>
      </c>
      <c r="C465" s="3" t="n">
        <v>19833.15</v>
      </c>
      <c r="D465" s="3" t="n">
        <v>1342.97</v>
      </c>
      <c r="E465" s="3" t="n">
        <v>1312.08</v>
      </c>
      <c r="F465" s="4">
        <f>C465/C464-1</f>
        <v/>
      </c>
      <c r="G465" s="4">
        <f>E465/E464-1</f>
        <v/>
      </c>
    </row>
    <row r="466">
      <c r="A466" s="2" t="n">
        <v>45127</v>
      </c>
      <c r="B466" s="3" t="n">
        <v>19979.15</v>
      </c>
      <c r="C466" s="3" t="n">
        <v>19979.15</v>
      </c>
      <c r="D466" s="3" t="n">
        <v>1338.3</v>
      </c>
      <c r="E466" s="3" t="n">
        <v>1307.51</v>
      </c>
      <c r="F466" s="4">
        <f>C466/C465-1</f>
        <v/>
      </c>
      <c r="G466" s="4">
        <f>E466/E465-1</f>
        <v/>
      </c>
    </row>
    <row r="467">
      <c r="A467" s="2" t="n">
        <v>45128</v>
      </c>
      <c r="B467" s="3" t="n">
        <v>19745</v>
      </c>
      <c r="C467" s="3" t="n">
        <v>19745</v>
      </c>
      <c r="D467" s="3" t="n">
        <v>1331.4</v>
      </c>
      <c r="E467" s="3" t="n">
        <v>1300.77</v>
      </c>
      <c r="F467" s="4">
        <f>C467/C466-1</f>
        <v/>
      </c>
      <c r="G467" s="4">
        <f>E467/E466-1</f>
        <v/>
      </c>
    </row>
    <row r="468">
      <c r="A468" s="2" t="n">
        <v>45131</v>
      </c>
      <c r="B468" s="3" t="n">
        <v>19672.35</v>
      </c>
      <c r="C468" s="3" t="n">
        <v>19672.35</v>
      </c>
      <c r="D468" s="3" t="n">
        <v>1325.8</v>
      </c>
      <c r="E468" s="3" t="n">
        <v>1295.3</v>
      </c>
      <c r="F468" s="4">
        <f>C468/C467-1</f>
        <v/>
      </c>
      <c r="G468" s="4">
        <f>E468/E467-1</f>
        <v/>
      </c>
    </row>
    <row r="469">
      <c r="A469" s="2" t="n">
        <v>45132</v>
      </c>
      <c r="B469" s="3" t="n">
        <v>19680.6</v>
      </c>
      <c r="C469" s="3" t="n">
        <v>19680.6</v>
      </c>
      <c r="D469" s="3" t="n">
        <v>1303.7</v>
      </c>
      <c r="E469" s="3" t="n">
        <v>1273.71</v>
      </c>
      <c r="F469" s="4">
        <f>C469/C468-1</f>
        <v/>
      </c>
      <c r="G469" s="4">
        <f>E469/E468-1</f>
        <v/>
      </c>
    </row>
    <row r="470">
      <c r="A470" s="2" t="n">
        <v>45133</v>
      </c>
      <c r="B470" s="3" t="n">
        <v>19778.3</v>
      </c>
      <c r="C470" s="3" t="n">
        <v>19778.3</v>
      </c>
      <c r="D470" s="3" t="n">
        <v>1309</v>
      </c>
      <c r="E470" s="3" t="n">
        <v>1278.89</v>
      </c>
      <c r="F470" s="4">
        <f>C470/C469-1</f>
        <v/>
      </c>
      <c r="G470" s="4">
        <f>E470/E469-1</f>
        <v/>
      </c>
    </row>
    <row r="471">
      <c r="A471" s="2" t="n">
        <v>45134</v>
      </c>
      <c r="B471" s="3" t="n">
        <v>19659.9</v>
      </c>
      <c r="C471" s="3" t="n">
        <v>19659.9</v>
      </c>
      <c r="D471" s="3" t="n">
        <v>1301.38</v>
      </c>
      <c r="E471" s="3" t="n">
        <v>1276.8</v>
      </c>
      <c r="F471" s="4">
        <f>C471/C470-1</f>
        <v/>
      </c>
      <c r="G471" s="4">
        <f>E471/E470-1</f>
        <v/>
      </c>
    </row>
    <row r="472">
      <c r="A472" s="2" t="n">
        <v>45135</v>
      </c>
      <c r="B472" s="3" t="n">
        <v>19646.05</v>
      </c>
      <c r="C472" s="3" t="n">
        <v>19646.05</v>
      </c>
      <c r="D472" s="3" t="n">
        <v>1307.93</v>
      </c>
      <c r="E472" s="3" t="n">
        <v>1283.23</v>
      </c>
      <c r="F472" s="4">
        <f>C472/C471-1</f>
        <v/>
      </c>
      <c r="G472" s="4">
        <f>E472/E471-1</f>
        <v/>
      </c>
    </row>
    <row r="473">
      <c r="A473" s="2" t="n">
        <v>45138</v>
      </c>
      <c r="B473" s="3" t="n">
        <v>19753.8</v>
      </c>
      <c r="C473" s="3" t="n">
        <v>19753.8</v>
      </c>
      <c r="D473" s="3" t="n">
        <v>1307.47</v>
      </c>
      <c r="E473" s="3" t="n">
        <v>1282.79</v>
      </c>
      <c r="F473" s="4">
        <f>C473/C472-1</f>
        <v/>
      </c>
      <c r="G473" s="4">
        <f>E473/E472-1</f>
        <v/>
      </c>
    </row>
    <row r="474">
      <c r="A474" s="2" t="n">
        <v>45139</v>
      </c>
      <c r="B474" s="3" t="n">
        <v>19733.55</v>
      </c>
      <c r="C474" s="3" t="n">
        <v>19733.55</v>
      </c>
      <c r="D474" s="3" t="n">
        <v>1317.4</v>
      </c>
      <c r="E474" s="3" t="n">
        <v>1292.52</v>
      </c>
      <c r="F474" s="4">
        <f>C474/C473-1</f>
        <v/>
      </c>
      <c r="G474" s="4">
        <f>E474/E473-1</f>
        <v/>
      </c>
    </row>
    <row r="475">
      <c r="A475" s="2" t="n">
        <v>45140</v>
      </c>
      <c r="B475" s="3" t="n">
        <v>19526.55</v>
      </c>
      <c r="C475" s="3" t="n">
        <v>19526.55</v>
      </c>
      <c r="D475" s="3" t="n">
        <v>1313.38</v>
      </c>
      <c r="E475" s="3" t="n">
        <v>1288.57</v>
      </c>
      <c r="F475" s="4">
        <f>C475/C474-1</f>
        <v/>
      </c>
      <c r="G475" s="4">
        <f>E475/E474-1</f>
        <v/>
      </c>
    </row>
    <row r="476">
      <c r="A476" s="2" t="n">
        <v>45141</v>
      </c>
      <c r="B476" s="3" t="n">
        <v>19381.65</v>
      </c>
      <c r="C476" s="3" t="n">
        <v>19381.65</v>
      </c>
      <c r="D476" s="3" t="n">
        <v>1292.25</v>
      </c>
      <c r="E476" s="3" t="n">
        <v>1267.85</v>
      </c>
      <c r="F476" s="4">
        <f>C476/C475-1</f>
        <v/>
      </c>
      <c r="G476" s="4">
        <f>E476/E475-1</f>
        <v/>
      </c>
    </row>
    <row r="477">
      <c r="A477" s="2" t="n">
        <v>45142</v>
      </c>
      <c r="B477" s="3" t="n">
        <v>19517</v>
      </c>
      <c r="C477" s="3" t="n">
        <v>19517</v>
      </c>
      <c r="D477" s="3" t="n">
        <v>1304.9</v>
      </c>
      <c r="E477" s="3" t="n">
        <v>1280.26</v>
      </c>
      <c r="F477" s="4">
        <f>C477/C476-1</f>
        <v/>
      </c>
      <c r="G477" s="4">
        <f>E477/E476-1</f>
        <v/>
      </c>
    </row>
    <row r="478">
      <c r="A478" s="2" t="n">
        <v>45145</v>
      </c>
      <c r="B478" s="3" t="n">
        <v>19597.3</v>
      </c>
      <c r="C478" s="3" t="n">
        <v>19597.3</v>
      </c>
      <c r="D478" s="3" t="n">
        <v>1305.3</v>
      </c>
      <c r="E478" s="3" t="n">
        <v>1280.65</v>
      </c>
      <c r="F478" s="4">
        <f>C478/C477-1</f>
        <v/>
      </c>
      <c r="G478" s="4">
        <f>E478/E477-1</f>
        <v/>
      </c>
    </row>
    <row r="479">
      <c r="A479" s="2" t="n">
        <v>45146</v>
      </c>
      <c r="B479" s="3" t="n">
        <v>19570.85</v>
      </c>
      <c r="C479" s="3" t="n">
        <v>19570.85</v>
      </c>
      <c r="D479" s="3" t="n">
        <v>1311.9</v>
      </c>
      <c r="E479" s="3" t="n">
        <v>1287.13</v>
      </c>
      <c r="F479" s="4">
        <f>C479/C478-1</f>
        <v/>
      </c>
      <c r="G479" s="4">
        <f>E479/E478-1</f>
        <v/>
      </c>
    </row>
    <row r="480">
      <c r="A480" s="2" t="n">
        <v>45147</v>
      </c>
      <c r="B480" s="3" t="n">
        <v>19632.55</v>
      </c>
      <c r="C480" s="3" t="n">
        <v>19632.55</v>
      </c>
      <c r="D480" s="3" t="n">
        <v>1301.8</v>
      </c>
      <c r="E480" s="3" t="n">
        <v>1277.22</v>
      </c>
      <c r="F480" s="4">
        <f>C480/C479-1</f>
        <v/>
      </c>
      <c r="G480" s="4">
        <f>E480/E479-1</f>
        <v/>
      </c>
    </row>
    <row r="481">
      <c r="A481" s="2" t="n">
        <v>45148</v>
      </c>
      <c r="B481" s="3" t="n">
        <v>19543.1</v>
      </c>
      <c r="C481" s="3" t="n">
        <v>19543.1</v>
      </c>
      <c r="D481" s="3" t="n">
        <v>1260.05</v>
      </c>
      <c r="E481" s="3" t="n">
        <v>1236.26</v>
      </c>
      <c r="F481" s="4">
        <f>C481/C480-1</f>
        <v/>
      </c>
      <c r="G481" s="4">
        <f>E481/E480-1</f>
        <v/>
      </c>
    </row>
    <row r="482">
      <c r="A482" s="2" t="n">
        <v>45149</v>
      </c>
      <c r="B482" s="3" t="n">
        <v>19428.3</v>
      </c>
      <c r="C482" s="3" t="n">
        <v>19428.3</v>
      </c>
      <c r="D482" s="3" t="n">
        <v>1272.32</v>
      </c>
      <c r="E482" s="3" t="n">
        <v>1248.3</v>
      </c>
      <c r="F482" s="4">
        <f>C482/C481-1</f>
        <v/>
      </c>
      <c r="G482" s="4">
        <f>E482/E481-1</f>
        <v/>
      </c>
    </row>
    <row r="483">
      <c r="A483" s="2" t="n">
        <v>45152</v>
      </c>
      <c r="B483" s="3" t="n">
        <v>19434.55</v>
      </c>
      <c r="C483" s="3" t="n">
        <v>19434.55</v>
      </c>
      <c r="D483" s="3" t="n">
        <v>1268.7</v>
      </c>
      <c r="E483" s="3" t="n">
        <v>1244.74</v>
      </c>
      <c r="F483" s="4">
        <f>C483/C482-1</f>
        <v/>
      </c>
      <c r="G483" s="4">
        <f>E483/E482-1</f>
        <v/>
      </c>
    </row>
    <row r="484">
      <c r="A484" s="2" t="n">
        <v>45154</v>
      </c>
      <c r="B484" s="3" t="n">
        <v>19465</v>
      </c>
      <c r="C484" s="3" t="n">
        <v>19465</v>
      </c>
      <c r="D484" s="3" t="n">
        <v>1269.82</v>
      </c>
      <c r="E484" s="3" t="n">
        <v>1245.85</v>
      </c>
      <c r="F484" s="4">
        <f>C484/C483-1</f>
        <v/>
      </c>
      <c r="G484" s="4">
        <f>E484/E483-1</f>
        <v/>
      </c>
    </row>
    <row r="485">
      <c r="A485" s="2" t="n">
        <v>45155</v>
      </c>
      <c r="B485" s="3" t="n">
        <v>19365.25</v>
      </c>
      <c r="C485" s="3" t="n">
        <v>19365.25</v>
      </c>
      <c r="D485" s="3" t="n">
        <v>1251.57</v>
      </c>
      <c r="E485" s="3" t="n">
        <v>1227.94</v>
      </c>
      <c r="F485" s="4">
        <f>C485/C484-1</f>
        <v/>
      </c>
      <c r="G485" s="4">
        <f>E485/E484-1</f>
        <v/>
      </c>
    </row>
    <row r="486">
      <c r="A486" s="2" t="n">
        <v>45156</v>
      </c>
      <c r="B486" s="3" t="n">
        <v>19310.15</v>
      </c>
      <c r="C486" s="3" t="n">
        <v>19310.15</v>
      </c>
      <c r="D486" s="3" t="n">
        <v>1238.8</v>
      </c>
      <c r="E486" s="3" t="n">
        <v>1215.41</v>
      </c>
      <c r="F486" s="4">
        <f>C486/C485-1</f>
        <v/>
      </c>
      <c r="G486" s="4">
        <f>E486/E485-1</f>
        <v/>
      </c>
    </row>
    <row r="487">
      <c r="A487" s="2" t="n">
        <v>45159</v>
      </c>
      <c r="B487" s="3" t="n">
        <v>19393.6</v>
      </c>
      <c r="C487" s="3" t="n">
        <v>19393.6</v>
      </c>
      <c r="D487" s="3" t="n">
        <v>1243.38</v>
      </c>
      <c r="E487" s="3" t="n">
        <v>1219.9</v>
      </c>
      <c r="F487" s="4">
        <f>C487/C486-1</f>
        <v/>
      </c>
      <c r="G487" s="4">
        <f>E487/E486-1</f>
        <v/>
      </c>
    </row>
    <row r="488">
      <c r="A488" s="2" t="n">
        <v>45160</v>
      </c>
      <c r="B488" s="3" t="n">
        <v>19396.45</v>
      </c>
      <c r="C488" s="3" t="n">
        <v>19396.45</v>
      </c>
      <c r="D488" s="3" t="n">
        <v>1247.15</v>
      </c>
      <c r="E488" s="3" t="n">
        <v>1223.6</v>
      </c>
      <c r="F488" s="4">
        <f>C488/C487-1</f>
        <v/>
      </c>
      <c r="G488" s="4">
        <f>E488/E487-1</f>
        <v/>
      </c>
    </row>
    <row r="489">
      <c r="A489" s="2" t="n">
        <v>45161</v>
      </c>
      <c r="B489" s="3" t="n">
        <v>19444</v>
      </c>
      <c r="C489" s="3" t="n">
        <v>19444</v>
      </c>
      <c r="D489" s="3" t="n">
        <v>1253.47</v>
      </c>
      <c r="E489" s="3" t="n">
        <v>1229.81</v>
      </c>
      <c r="F489" s="4">
        <f>C489/C488-1</f>
        <v/>
      </c>
      <c r="G489" s="4">
        <f>E489/E488-1</f>
        <v/>
      </c>
    </row>
    <row r="490">
      <c r="A490" s="2" t="n">
        <v>45162</v>
      </c>
      <c r="B490" s="3" t="n">
        <v>19386.7</v>
      </c>
      <c r="C490" s="3" t="n">
        <v>19386.7</v>
      </c>
      <c r="D490" s="3" t="n">
        <v>1260.8</v>
      </c>
      <c r="E490" s="3" t="n">
        <v>1236.99</v>
      </c>
      <c r="F490" s="4">
        <f>C490/C489-1</f>
        <v/>
      </c>
      <c r="G490" s="4">
        <f>E490/E489-1</f>
        <v/>
      </c>
    </row>
    <row r="491">
      <c r="A491" s="2" t="n">
        <v>45163</v>
      </c>
      <c r="B491" s="3" t="n">
        <v>19265.8</v>
      </c>
      <c r="C491" s="3" t="n">
        <v>19265.8</v>
      </c>
      <c r="D491" s="3" t="n">
        <v>1263.95</v>
      </c>
      <c r="E491" s="3" t="n">
        <v>1240.08</v>
      </c>
      <c r="F491" s="4">
        <f>C491/C490-1</f>
        <v/>
      </c>
      <c r="G491" s="4">
        <f>E491/E490-1</f>
        <v/>
      </c>
    </row>
    <row r="492">
      <c r="A492" s="2" t="n">
        <v>45166</v>
      </c>
      <c r="B492" s="3" t="n">
        <v>19306.05</v>
      </c>
      <c r="C492" s="3" t="n">
        <v>19306.05</v>
      </c>
      <c r="D492" s="3" t="n">
        <v>1257.05</v>
      </c>
      <c r="E492" s="3" t="n">
        <v>1233.31</v>
      </c>
      <c r="F492" s="4">
        <f>C492/C491-1</f>
        <v/>
      </c>
      <c r="G492" s="4">
        <f>E492/E491-1</f>
        <v/>
      </c>
    </row>
    <row r="493">
      <c r="A493" s="2" t="n">
        <v>45167</v>
      </c>
      <c r="B493" s="3" t="n">
        <v>19342.65</v>
      </c>
      <c r="C493" s="3" t="n">
        <v>19342.65</v>
      </c>
      <c r="D493" s="3" t="n">
        <v>1290.97</v>
      </c>
      <c r="E493" s="3" t="n">
        <v>1266.6</v>
      </c>
      <c r="F493" s="4">
        <f>C493/C492-1</f>
        <v/>
      </c>
      <c r="G493" s="4">
        <f>E493/E492-1</f>
        <v/>
      </c>
    </row>
    <row r="494">
      <c r="A494" s="2" t="n">
        <v>45168</v>
      </c>
      <c r="B494" s="3" t="n">
        <v>19347.45</v>
      </c>
      <c r="C494" s="3" t="n">
        <v>19347.45</v>
      </c>
      <c r="D494" s="3" t="n">
        <v>1287.43</v>
      </c>
      <c r="E494" s="3" t="n">
        <v>1263.11</v>
      </c>
      <c r="F494" s="4">
        <f>C494/C493-1</f>
        <v/>
      </c>
      <c r="G494" s="4">
        <f>E494/E493-1</f>
        <v/>
      </c>
    </row>
    <row r="495">
      <c r="A495" s="2" t="n">
        <v>45169</v>
      </c>
      <c r="B495" s="3" t="n">
        <v>19253.8</v>
      </c>
      <c r="C495" s="3" t="n">
        <v>19253.8</v>
      </c>
      <c r="D495" s="3" t="n">
        <v>1257.5</v>
      </c>
      <c r="E495" s="3" t="n">
        <v>1233.75</v>
      </c>
      <c r="F495" s="4">
        <f>C495/C494-1</f>
        <v/>
      </c>
      <c r="G495" s="4">
        <f>E495/E494-1</f>
        <v/>
      </c>
    </row>
    <row r="496">
      <c r="A496" s="2" t="n">
        <v>45170</v>
      </c>
      <c r="B496" s="3" t="n">
        <v>19435.3</v>
      </c>
      <c r="C496" s="3" t="n">
        <v>19435.3</v>
      </c>
      <c r="D496" s="3" t="n">
        <v>1249.12</v>
      </c>
      <c r="E496" s="3" t="n">
        <v>1225.54</v>
      </c>
      <c r="F496" s="4">
        <f>C496/C495-1</f>
        <v/>
      </c>
      <c r="G496" s="4">
        <f>E496/E495-1</f>
        <v/>
      </c>
    </row>
    <row r="497">
      <c r="A497" s="2" t="n">
        <v>45173</v>
      </c>
      <c r="B497" s="3" t="n">
        <v>19528.8</v>
      </c>
      <c r="C497" s="3" t="n">
        <v>19528.8</v>
      </c>
      <c r="D497" s="3" t="n">
        <v>1237.43</v>
      </c>
      <c r="E497" s="3" t="n">
        <v>1214.06</v>
      </c>
      <c r="F497" s="4">
        <f>C497/C496-1</f>
        <v/>
      </c>
      <c r="G497" s="4">
        <f>E497/E496-1</f>
        <v/>
      </c>
    </row>
    <row r="498">
      <c r="A498" s="2" t="n">
        <v>45174</v>
      </c>
      <c r="B498" s="3" t="n">
        <v>19574.9</v>
      </c>
      <c r="C498" s="3" t="n">
        <v>19574.9</v>
      </c>
      <c r="D498" s="3" t="n">
        <v>1245.65</v>
      </c>
      <c r="E498" s="3" t="n">
        <v>1222.13</v>
      </c>
      <c r="F498" s="4">
        <f>C498/C497-1</f>
        <v/>
      </c>
      <c r="G498" s="4">
        <f>E498/E497-1</f>
        <v/>
      </c>
    </row>
    <row r="499">
      <c r="A499" s="2" t="n">
        <v>45175</v>
      </c>
      <c r="B499" s="3" t="n">
        <v>19611.05</v>
      </c>
      <c r="C499" s="3" t="n">
        <v>19611.05</v>
      </c>
      <c r="D499" s="3" t="n">
        <v>1251.2</v>
      </c>
      <c r="E499" s="3" t="n">
        <v>1227.57</v>
      </c>
      <c r="F499" s="4">
        <f>C499/C498-1</f>
        <v/>
      </c>
      <c r="G499" s="4">
        <f>E499/E498-1</f>
        <v/>
      </c>
    </row>
    <row r="500">
      <c r="A500" s="2" t="n">
        <v>45176</v>
      </c>
      <c r="B500" s="3" t="n">
        <v>19727.05</v>
      </c>
      <c r="C500" s="3" t="n">
        <v>19727.05</v>
      </c>
      <c r="D500" s="3" t="n">
        <v>1253.7</v>
      </c>
      <c r="E500" s="3" t="n">
        <v>1230.03</v>
      </c>
      <c r="F500" s="4">
        <f>C500/C499-1</f>
        <v/>
      </c>
      <c r="G500" s="4">
        <f>E500/E499-1</f>
        <v/>
      </c>
    </row>
    <row r="501">
      <c r="A501" s="2" t="n">
        <v>45177</v>
      </c>
      <c r="B501" s="3" t="n">
        <v>19819.95</v>
      </c>
      <c r="C501" s="3" t="n">
        <v>19819.95</v>
      </c>
      <c r="D501" s="3" t="n">
        <v>1252.53</v>
      </c>
      <c r="E501" s="3" t="n">
        <v>1228.87</v>
      </c>
      <c r="F501" s="4">
        <f>C501/C500-1</f>
        <v/>
      </c>
      <c r="G501" s="4">
        <f>E501/E500-1</f>
        <v/>
      </c>
    </row>
    <row r="502">
      <c r="A502" s="2" t="n">
        <v>45180</v>
      </c>
      <c r="B502" s="3" t="n">
        <v>19996.35</v>
      </c>
      <c r="C502" s="3" t="n">
        <v>19996.35</v>
      </c>
      <c r="D502" s="3" t="n">
        <v>1261.88</v>
      </c>
      <c r="E502" s="3" t="n">
        <v>1238.05</v>
      </c>
      <c r="F502" s="4">
        <f>C502/C501-1</f>
        <v/>
      </c>
      <c r="G502" s="4">
        <f>E502/E501-1</f>
        <v/>
      </c>
    </row>
    <row r="503">
      <c r="A503" s="2" t="n">
        <v>45181</v>
      </c>
      <c r="B503" s="3" t="n">
        <v>19993.2</v>
      </c>
      <c r="C503" s="3" t="n">
        <v>19993.2</v>
      </c>
      <c r="D503" s="3" t="n">
        <v>1243.62</v>
      </c>
      <c r="E503" s="3" t="n">
        <v>1220.14</v>
      </c>
      <c r="F503" s="4">
        <f>C503/C502-1</f>
        <v/>
      </c>
      <c r="G503" s="4">
        <f>E503/E502-1</f>
        <v/>
      </c>
    </row>
    <row r="504">
      <c r="A504" s="2" t="n">
        <v>45182</v>
      </c>
      <c r="B504" s="3" t="n">
        <v>20070</v>
      </c>
      <c r="C504" s="3" t="n">
        <v>20070</v>
      </c>
      <c r="D504" s="3" t="n">
        <v>1244.28</v>
      </c>
      <c r="E504" s="3" t="n">
        <v>1220.78</v>
      </c>
      <c r="F504" s="4">
        <f>C504/C503-1</f>
        <v/>
      </c>
      <c r="G504" s="4">
        <f>E504/E503-1</f>
        <v/>
      </c>
    </row>
    <row r="505">
      <c r="A505" s="2" t="n">
        <v>45183</v>
      </c>
      <c r="B505" s="3" t="n">
        <v>20103.1</v>
      </c>
      <c r="C505" s="3" t="n">
        <v>20103.1</v>
      </c>
      <c r="D505" s="3" t="n">
        <v>1241.6</v>
      </c>
      <c r="E505" s="3" t="n">
        <v>1218.15</v>
      </c>
      <c r="F505" s="4">
        <f>C505/C504-1</f>
        <v/>
      </c>
      <c r="G505" s="4">
        <f>E505/E504-1</f>
        <v/>
      </c>
    </row>
    <row r="506">
      <c r="A506" s="2" t="n">
        <v>45184</v>
      </c>
      <c r="B506" s="3" t="n">
        <v>20192.35</v>
      </c>
      <c r="C506" s="3" t="n">
        <v>20192.35</v>
      </c>
      <c r="D506" s="3" t="n">
        <v>1240.75</v>
      </c>
      <c r="E506" s="3" t="n">
        <v>1217.32</v>
      </c>
      <c r="F506" s="4">
        <f>C506/C505-1</f>
        <v/>
      </c>
      <c r="G506" s="4">
        <f>E506/E505-1</f>
        <v/>
      </c>
    </row>
    <row r="507">
      <c r="A507" s="2" t="n">
        <v>45187</v>
      </c>
      <c r="B507" s="3" t="n">
        <v>20133.3</v>
      </c>
      <c r="C507" s="3" t="n">
        <v>20133.3</v>
      </c>
      <c r="D507" s="3" t="n">
        <v>1254.07</v>
      </c>
      <c r="E507" s="3" t="n">
        <v>1230.39</v>
      </c>
      <c r="F507" s="4">
        <f>C507/C506-1</f>
        <v/>
      </c>
      <c r="G507" s="4">
        <f>E507/E506-1</f>
        <v/>
      </c>
    </row>
    <row r="508">
      <c r="A508" s="2" t="n">
        <v>45189</v>
      </c>
      <c r="B508" s="3" t="n">
        <v>19901.4</v>
      </c>
      <c r="C508" s="3" t="n">
        <v>19901.4</v>
      </c>
      <c r="D508" s="3" t="n">
        <v>1249.6</v>
      </c>
      <c r="E508" s="3" t="n">
        <v>1226</v>
      </c>
      <c r="F508" s="4">
        <f>C508/C507-1</f>
        <v/>
      </c>
      <c r="G508" s="4">
        <f>E508/E507-1</f>
        <v/>
      </c>
    </row>
    <row r="509">
      <c r="A509" s="2" t="n">
        <v>45190</v>
      </c>
      <c r="B509" s="3" t="n">
        <v>19742.35</v>
      </c>
      <c r="C509" s="3" t="n">
        <v>19742.35</v>
      </c>
      <c r="D509" s="3" t="n">
        <v>1256.43</v>
      </c>
      <c r="E509" s="3" t="n">
        <v>1232.7</v>
      </c>
      <c r="F509" s="4">
        <f>C509/C508-1</f>
        <v/>
      </c>
      <c r="G509" s="4">
        <f>E509/E508-1</f>
        <v/>
      </c>
    </row>
    <row r="510">
      <c r="A510" s="2" t="n">
        <v>45191</v>
      </c>
      <c r="B510" s="3" t="n">
        <v>19674.25</v>
      </c>
      <c r="C510" s="3" t="n">
        <v>19674.25</v>
      </c>
      <c r="D510" s="3" t="n">
        <v>1258.85</v>
      </c>
      <c r="E510" s="3" t="n">
        <v>1235.08</v>
      </c>
      <c r="F510" s="4">
        <f>C510/C509-1</f>
        <v/>
      </c>
      <c r="G510" s="4">
        <f>E510/E509-1</f>
        <v/>
      </c>
    </row>
    <row r="511">
      <c r="A511" s="2" t="n">
        <v>45194</v>
      </c>
      <c r="B511" s="3" t="n">
        <v>19674.55</v>
      </c>
      <c r="C511" s="3" t="n">
        <v>19674.55</v>
      </c>
      <c r="D511" s="3" t="n">
        <v>1247.25</v>
      </c>
      <c r="E511" s="3" t="n">
        <v>1223.7</v>
      </c>
      <c r="F511" s="4">
        <f>C511/C510-1</f>
        <v/>
      </c>
      <c r="G511" s="4">
        <f>E511/E510-1</f>
        <v/>
      </c>
    </row>
    <row r="512">
      <c r="A512" s="2" t="n">
        <v>45195</v>
      </c>
      <c r="B512" s="3" t="n">
        <v>19664.7</v>
      </c>
      <c r="C512" s="3" t="n">
        <v>19664.7</v>
      </c>
      <c r="D512" s="3" t="n">
        <v>1250.9</v>
      </c>
      <c r="E512" s="3" t="n">
        <v>1227.28</v>
      </c>
      <c r="F512" s="4">
        <f>C512/C511-1</f>
        <v/>
      </c>
      <c r="G512" s="4">
        <f>E512/E511-1</f>
        <v/>
      </c>
    </row>
    <row r="513">
      <c r="A513" s="2" t="n">
        <v>45196</v>
      </c>
      <c r="B513" s="3" t="n">
        <v>19716.45</v>
      </c>
      <c r="C513" s="3" t="n">
        <v>19716.45</v>
      </c>
      <c r="D513" s="3" t="n">
        <v>1249.75</v>
      </c>
      <c r="E513" s="3" t="n">
        <v>1226.15</v>
      </c>
      <c r="F513" s="4">
        <f>C513/C512-1</f>
        <v/>
      </c>
      <c r="G513" s="4">
        <f>E513/E512-1</f>
        <v/>
      </c>
    </row>
    <row r="514">
      <c r="A514" s="2" t="n">
        <v>45197</v>
      </c>
      <c r="B514" s="3" t="n">
        <v>19523.55</v>
      </c>
      <c r="C514" s="3" t="n">
        <v>19523.55</v>
      </c>
      <c r="D514" s="3" t="n">
        <v>1210.68</v>
      </c>
      <c r="E514" s="3" t="n">
        <v>1187.81</v>
      </c>
      <c r="F514" s="4">
        <f>C514/C513-1</f>
        <v/>
      </c>
      <c r="G514" s="4">
        <f>E514/E513-1</f>
        <v/>
      </c>
    </row>
    <row r="515">
      <c r="A515" s="2" t="n">
        <v>45198</v>
      </c>
      <c r="B515" s="3" t="n">
        <v>19638.3</v>
      </c>
      <c r="C515" s="3" t="n">
        <v>19638.3</v>
      </c>
      <c r="D515" s="3" t="n">
        <v>1219.75</v>
      </c>
      <c r="E515" s="3" t="n">
        <v>1196.72</v>
      </c>
      <c r="F515" s="4">
        <f>C515/C514-1</f>
        <v/>
      </c>
      <c r="G515" s="4">
        <f>E515/E514-1</f>
        <v/>
      </c>
    </row>
    <row r="516">
      <c r="A516" s="2" t="n">
        <v>45202</v>
      </c>
      <c r="B516" s="3" t="n">
        <v>19528.75</v>
      </c>
      <c r="C516" s="3" t="n">
        <v>19528.75</v>
      </c>
      <c r="D516" s="3" t="n">
        <v>1212.7</v>
      </c>
      <c r="E516" s="3" t="n">
        <v>1189.8</v>
      </c>
      <c r="F516" s="4">
        <f>C516/C515-1</f>
        <v/>
      </c>
      <c r="G516" s="4">
        <f>E516/E515-1</f>
        <v/>
      </c>
    </row>
    <row r="517">
      <c r="A517" s="2" t="n">
        <v>45203</v>
      </c>
      <c r="B517" s="3" t="n">
        <v>19436.1</v>
      </c>
      <c r="C517" s="3" t="n">
        <v>19436.1</v>
      </c>
      <c r="D517" s="3" t="n">
        <v>1203.2</v>
      </c>
      <c r="E517" s="3" t="n">
        <v>1180.48</v>
      </c>
      <c r="F517" s="4">
        <f>C517/C516-1</f>
        <v/>
      </c>
      <c r="G517" s="4">
        <f>E517/E516-1</f>
        <v/>
      </c>
    </row>
    <row r="518">
      <c r="A518" s="2" t="n">
        <v>45204</v>
      </c>
      <c r="B518" s="3" t="n">
        <v>19545.75</v>
      </c>
      <c r="C518" s="3" t="n">
        <v>19545.75</v>
      </c>
      <c r="D518" s="3" t="n">
        <v>1214.6</v>
      </c>
      <c r="E518" s="3" t="n">
        <v>1191.66</v>
      </c>
      <c r="F518" s="4">
        <f>C518/C517-1</f>
        <v/>
      </c>
      <c r="G518" s="4">
        <f>E518/E517-1</f>
        <v/>
      </c>
    </row>
    <row r="519">
      <c r="A519" s="2" t="n">
        <v>45205</v>
      </c>
      <c r="B519" s="3" t="n">
        <v>19653.5</v>
      </c>
      <c r="C519" s="3" t="n">
        <v>19653.5</v>
      </c>
      <c r="D519" s="3" t="n">
        <v>1227.18</v>
      </c>
      <c r="E519" s="3" t="n">
        <v>1204</v>
      </c>
      <c r="F519" s="4">
        <f>C519/C518-1</f>
        <v/>
      </c>
      <c r="G519" s="4">
        <f>E519/E518-1</f>
        <v/>
      </c>
    </row>
    <row r="520">
      <c r="A520" s="2" t="n">
        <v>45208</v>
      </c>
      <c r="B520" s="3" t="n">
        <v>19512.35</v>
      </c>
      <c r="C520" s="3" t="n">
        <v>19512.35</v>
      </c>
      <c r="D520" s="3" t="n">
        <v>1212.5</v>
      </c>
      <c r="E520" s="3" t="n">
        <v>1189.6</v>
      </c>
      <c r="F520" s="4">
        <f>C520/C519-1</f>
        <v/>
      </c>
      <c r="G520" s="4">
        <f>E520/E519-1</f>
        <v/>
      </c>
    </row>
    <row r="521">
      <c r="A521" s="2" t="n">
        <v>45209</v>
      </c>
      <c r="B521" s="3" t="n">
        <v>19689.85</v>
      </c>
      <c r="C521" s="3" t="n">
        <v>19689.85</v>
      </c>
      <c r="D521" s="3" t="n">
        <v>1225.05</v>
      </c>
      <c r="E521" s="3" t="n">
        <v>1201.92</v>
      </c>
      <c r="F521" s="4">
        <f>C521/C520-1</f>
        <v/>
      </c>
      <c r="G521" s="4">
        <f>E521/E520-1</f>
        <v/>
      </c>
    </row>
    <row r="522">
      <c r="A522" s="2" t="n">
        <v>45210</v>
      </c>
      <c r="B522" s="3" t="n">
        <v>19811.35</v>
      </c>
      <c r="C522" s="3" t="n">
        <v>19811.35</v>
      </c>
      <c r="D522" s="3" t="n">
        <v>1243.82</v>
      </c>
      <c r="E522" s="3" t="n">
        <v>1220.34</v>
      </c>
      <c r="F522" s="4">
        <f>C522/C521-1</f>
        <v/>
      </c>
      <c r="G522" s="4">
        <f>E522/E521-1</f>
        <v/>
      </c>
    </row>
    <row r="523">
      <c r="A523" s="2" t="n">
        <v>45211</v>
      </c>
      <c r="B523" s="3" t="n">
        <v>19794</v>
      </c>
      <c r="C523" s="3" t="n">
        <v>19794</v>
      </c>
      <c r="D523" s="3" t="n">
        <v>1240.95</v>
      </c>
      <c r="E523" s="3" t="n">
        <v>1217.52</v>
      </c>
      <c r="F523" s="4">
        <f>C523/C522-1</f>
        <v/>
      </c>
      <c r="G523" s="4">
        <f>E523/E522-1</f>
        <v/>
      </c>
    </row>
    <row r="524">
      <c r="A524" s="2" t="n">
        <v>45212</v>
      </c>
      <c r="B524" s="3" t="n">
        <v>19751.05</v>
      </c>
      <c r="C524" s="3" t="n">
        <v>19751.05</v>
      </c>
      <c r="D524" s="3" t="n">
        <v>1230.03</v>
      </c>
      <c r="E524" s="3" t="n">
        <v>1206.8</v>
      </c>
      <c r="F524" s="4">
        <f>C524/C523-1</f>
        <v/>
      </c>
      <c r="G524" s="4">
        <f>E524/E523-1</f>
        <v/>
      </c>
    </row>
    <row r="525">
      <c r="A525" s="2" t="n">
        <v>45215</v>
      </c>
      <c r="B525" s="3" t="n">
        <v>19731.75</v>
      </c>
      <c r="C525" s="3" t="n">
        <v>19731.75</v>
      </c>
      <c r="D525" s="3" t="n">
        <v>1217.3</v>
      </c>
      <c r="E525" s="3" t="n">
        <v>1194.31</v>
      </c>
      <c r="F525" s="4">
        <f>C525/C524-1</f>
        <v/>
      </c>
      <c r="G525" s="4">
        <f>E525/E524-1</f>
        <v/>
      </c>
    </row>
    <row r="526">
      <c r="A526" s="2" t="n">
        <v>45216</v>
      </c>
      <c r="B526" s="3" t="n">
        <v>19811.5</v>
      </c>
      <c r="C526" s="3" t="n">
        <v>19811.5</v>
      </c>
      <c r="D526" s="3" t="n">
        <v>1213.68</v>
      </c>
      <c r="E526" s="3" t="n">
        <v>1190.76</v>
      </c>
      <c r="F526" s="4">
        <f>C526/C525-1</f>
        <v/>
      </c>
      <c r="G526" s="4">
        <f>E526/E525-1</f>
        <v/>
      </c>
    </row>
    <row r="527">
      <c r="A527" s="2" t="n">
        <v>45217</v>
      </c>
      <c r="B527" s="3" t="n">
        <v>19671.1</v>
      </c>
      <c r="C527" s="3" t="n">
        <v>19671.1</v>
      </c>
      <c r="D527" s="3" t="n">
        <v>1203.62</v>
      </c>
      <c r="E527" s="3" t="n">
        <v>1180.9</v>
      </c>
      <c r="F527" s="4">
        <f>C527/C526-1</f>
        <v/>
      </c>
      <c r="G527" s="4">
        <f>E527/E526-1</f>
        <v/>
      </c>
    </row>
    <row r="528">
      <c r="A528" s="2" t="n">
        <v>45218</v>
      </c>
      <c r="B528" s="3" t="n">
        <v>19624.7</v>
      </c>
      <c r="C528" s="3" t="n">
        <v>19624.7</v>
      </c>
      <c r="D528" s="3" t="n">
        <v>1187.43</v>
      </c>
      <c r="E528" s="3" t="n">
        <v>1165</v>
      </c>
      <c r="F528" s="4">
        <f>C528/C527-1</f>
        <v/>
      </c>
      <c r="G528" s="4">
        <f>E528/E527-1</f>
        <v/>
      </c>
    </row>
    <row r="529">
      <c r="A529" s="2" t="n">
        <v>45219</v>
      </c>
      <c r="B529" s="3" t="n">
        <v>19542.65</v>
      </c>
      <c r="C529" s="3" t="n">
        <v>19542.65</v>
      </c>
      <c r="D529" s="3" t="n">
        <v>1186.6</v>
      </c>
      <c r="E529" s="3" t="n">
        <v>1164.19</v>
      </c>
      <c r="F529" s="4">
        <f>C529/C528-1</f>
        <v/>
      </c>
      <c r="G529" s="4">
        <f>E529/E528-1</f>
        <v/>
      </c>
    </row>
    <row r="530">
      <c r="A530" s="2" t="n">
        <v>45222</v>
      </c>
      <c r="B530" s="3" t="n">
        <v>19281.75</v>
      </c>
      <c r="C530" s="3" t="n">
        <v>19281.75</v>
      </c>
      <c r="D530" s="3" t="n">
        <v>1175.5</v>
      </c>
      <c r="E530" s="3" t="n">
        <v>1153.3</v>
      </c>
      <c r="F530" s="4">
        <f>C530/C529-1</f>
        <v/>
      </c>
      <c r="G530" s="4">
        <f>E530/E529-1</f>
        <v/>
      </c>
    </row>
    <row r="531">
      <c r="A531" s="2" t="n">
        <v>45224</v>
      </c>
      <c r="B531" s="3" t="n">
        <v>19122.15</v>
      </c>
      <c r="C531" s="3" t="n">
        <v>19122.15</v>
      </c>
      <c r="D531" s="3" t="n">
        <v>1163.15</v>
      </c>
      <c r="E531" s="3" t="n">
        <v>1141.19</v>
      </c>
      <c r="F531" s="4">
        <f>C531/C530-1</f>
        <v/>
      </c>
      <c r="G531" s="4">
        <f>E531/E530-1</f>
        <v/>
      </c>
    </row>
    <row r="532">
      <c r="A532" s="2" t="n">
        <v>45225</v>
      </c>
      <c r="B532" s="3" t="n">
        <v>18857.25</v>
      </c>
      <c r="C532" s="3" t="n">
        <v>18857.25</v>
      </c>
      <c r="D532" s="3" t="n">
        <v>1147.7</v>
      </c>
      <c r="E532" s="3" t="n">
        <v>1126.03</v>
      </c>
      <c r="F532" s="4">
        <f>C532/C531-1</f>
        <v/>
      </c>
      <c r="G532" s="4">
        <f>E532/E531-1</f>
        <v/>
      </c>
    </row>
    <row r="533">
      <c r="A533" s="2" t="n">
        <v>45226</v>
      </c>
      <c r="B533" s="3" t="n">
        <v>19047.25</v>
      </c>
      <c r="C533" s="3" t="n">
        <v>19047.25</v>
      </c>
      <c r="D533" s="3" t="n">
        <v>1158.4</v>
      </c>
      <c r="E533" s="3" t="n">
        <v>1136.53</v>
      </c>
      <c r="F533" s="4">
        <f>C533/C532-1</f>
        <v/>
      </c>
      <c r="G533" s="4">
        <f>E533/E532-1</f>
        <v/>
      </c>
    </row>
    <row r="534">
      <c r="A534" s="2" t="n">
        <v>45229</v>
      </c>
      <c r="B534" s="3" t="n">
        <v>19140.9</v>
      </c>
      <c r="C534" s="3" t="n">
        <v>19140.9</v>
      </c>
      <c r="D534" s="3" t="n">
        <v>1156.07</v>
      </c>
      <c r="E534" s="3" t="n">
        <v>1134.24</v>
      </c>
      <c r="F534" s="4">
        <f>C534/C533-1</f>
        <v/>
      </c>
      <c r="G534" s="4">
        <f>E534/E533-1</f>
        <v/>
      </c>
    </row>
    <row r="535">
      <c r="A535" s="2" t="n">
        <v>45230</v>
      </c>
      <c r="B535" s="3" t="n">
        <v>19079.6</v>
      </c>
      <c r="C535" s="3" t="n">
        <v>19079.6</v>
      </c>
      <c r="D535" s="3" t="n">
        <v>1229</v>
      </c>
      <c r="E535" s="3" t="n">
        <v>1205.79</v>
      </c>
      <c r="F535" s="4">
        <f>C535/C534-1</f>
        <v/>
      </c>
      <c r="G535" s="4">
        <f>E535/E534-1</f>
        <v/>
      </c>
    </row>
    <row r="536">
      <c r="A536" s="2" t="n">
        <v>45231</v>
      </c>
      <c r="B536" s="3" t="n">
        <v>18989.15</v>
      </c>
      <c r="C536" s="3" t="n">
        <v>18989.15</v>
      </c>
      <c r="D536" s="3" t="n">
        <v>1203.18</v>
      </c>
      <c r="E536" s="3" t="n">
        <v>1180.46</v>
      </c>
      <c r="F536" s="4">
        <f>C536/C535-1</f>
        <v/>
      </c>
      <c r="G536" s="4">
        <f>E536/E535-1</f>
        <v/>
      </c>
    </row>
    <row r="537">
      <c r="A537" s="2" t="n">
        <v>45232</v>
      </c>
      <c r="B537" s="3" t="n">
        <v>19133.25</v>
      </c>
      <c r="C537" s="3" t="n">
        <v>19133.25</v>
      </c>
      <c r="D537" s="3" t="n">
        <v>1214.15</v>
      </c>
      <c r="E537" s="3" t="n">
        <v>1191.22</v>
      </c>
      <c r="F537" s="4">
        <f>C537/C536-1</f>
        <v/>
      </c>
      <c r="G537" s="4">
        <f>E537/E536-1</f>
        <v/>
      </c>
    </row>
    <row r="538">
      <c r="A538" s="2" t="n">
        <v>45233</v>
      </c>
      <c r="B538" s="3" t="n">
        <v>19230.6</v>
      </c>
      <c r="C538" s="3" t="n">
        <v>19230.6</v>
      </c>
      <c r="D538" s="3" t="n">
        <v>1227.75</v>
      </c>
      <c r="E538" s="3" t="n">
        <v>1204.57</v>
      </c>
      <c r="F538" s="4">
        <f>C538/C537-1</f>
        <v/>
      </c>
      <c r="G538" s="4">
        <f>E538/E537-1</f>
        <v/>
      </c>
    </row>
    <row r="539">
      <c r="A539" s="2" t="n">
        <v>45236</v>
      </c>
      <c r="B539" s="3" t="n">
        <v>19411.75</v>
      </c>
      <c r="C539" s="3" t="n">
        <v>19411.75</v>
      </c>
      <c r="D539" s="3" t="n">
        <v>1216.85</v>
      </c>
      <c r="E539" s="3" t="n">
        <v>1193.87</v>
      </c>
      <c r="F539" s="4">
        <f>C539/C538-1</f>
        <v/>
      </c>
      <c r="G539" s="4">
        <f>E539/E538-1</f>
        <v/>
      </c>
    </row>
    <row r="540">
      <c r="A540" s="2" t="n">
        <v>45237</v>
      </c>
      <c r="B540" s="3" t="n">
        <v>19406.7</v>
      </c>
      <c r="C540" s="3" t="n">
        <v>19406.7</v>
      </c>
      <c r="D540" s="3" t="n">
        <v>1219.15</v>
      </c>
      <c r="E540" s="3" t="n">
        <v>1196.13</v>
      </c>
      <c r="F540" s="4">
        <f>C540/C539-1</f>
        <v/>
      </c>
      <c r="G540" s="4">
        <f>E540/E539-1</f>
        <v/>
      </c>
    </row>
    <row r="541">
      <c r="A541" s="2" t="n">
        <v>45238</v>
      </c>
      <c r="B541" s="3" t="n">
        <v>19443.5</v>
      </c>
      <c r="C541" s="3" t="n">
        <v>19443.5</v>
      </c>
      <c r="D541" s="3" t="n">
        <v>1236.57</v>
      </c>
      <c r="E541" s="3" t="n">
        <v>1213.22</v>
      </c>
      <c r="F541" s="4">
        <f>C541/C540-1</f>
        <v/>
      </c>
      <c r="G541" s="4">
        <f>E541/E540-1</f>
        <v/>
      </c>
    </row>
    <row r="542">
      <c r="A542" s="2" t="n">
        <v>45239</v>
      </c>
      <c r="B542" s="3" t="n">
        <v>19395.3</v>
      </c>
      <c r="C542" s="3" t="n">
        <v>19395.3</v>
      </c>
      <c r="D542" s="3" t="n">
        <v>1228.78</v>
      </c>
      <c r="E542" s="3" t="n">
        <v>1205.57</v>
      </c>
      <c r="F542" s="4">
        <f>C542/C541-1</f>
        <v/>
      </c>
      <c r="G542" s="4">
        <f>E542/E541-1</f>
        <v/>
      </c>
    </row>
    <row r="543">
      <c r="A543" s="2" t="n">
        <v>45240</v>
      </c>
      <c r="B543" s="3" t="n">
        <v>19425.35</v>
      </c>
      <c r="C543" s="3" t="n">
        <v>19425.35</v>
      </c>
      <c r="D543" s="3" t="n">
        <v>1216.18</v>
      </c>
      <c r="E543" s="3" t="n">
        <v>1193.21</v>
      </c>
      <c r="F543" s="4">
        <f>C543/C542-1</f>
        <v/>
      </c>
      <c r="G543" s="4">
        <f>E543/E542-1</f>
        <v/>
      </c>
    </row>
    <row r="544">
      <c r="A544" s="2" t="n">
        <v>45243</v>
      </c>
      <c r="B544" s="3" t="n">
        <v>19443.55</v>
      </c>
      <c r="C544" s="3" t="n">
        <v>19443.55</v>
      </c>
      <c r="D544" s="3" t="n">
        <v>1214.3</v>
      </c>
      <c r="E544" s="3" t="n">
        <v>1191.37</v>
      </c>
      <c r="F544" s="4">
        <f>C544/C543-1</f>
        <v/>
      </c>
      <c r="G544" s="4">
        <f>E544/E543-1</f>
        <v/>
      </c>
    </row>
    <row r="545">
      <c r="A545" s="2" t="n">
        <v>45245</v>
      </c>
      <c r="B545" s="3" t="n">
        <v>19675.45</v>
      </c>
      <c r="C545" s="3" t="n">
        <v>19675.45</v>
      </c>
      <c r="D545" s="3" t="n">
        <v>1230.15</v>
      </c>
      <c r="E545" s="3" t="n">
        <v>1206.92</v>
      </c>
      <c r="F545" s="4">
        <f>C545/C544-1</f>
        <v/>
      </c>
      <c r="G545" s="4">
        <f>E545/E544-1</f>
        <v/>
      </c>
    </row>
    <row r="546">
      <c r="A546" s="2" t="n">
        <v>45246</v>
      </c>
      <c r="B546" s="3" t="n">
        <v>19765.2</v>
      </c>
      <c r="C546" s="3" t="n">
        <v>19765.2</v>
      </c>
      <c r="D546" s="3" t="n">
        <v>1229.55</v>
      </c>
      <c r="E546" s="3" t="n">
        <v>1206.33</v>
      </c>
      <c r="F546" s="4">
        <f>C546/C545-1</f>
        <v/>
      </c>
      <c r="G546" s="4">
        <f>E546/E545-1</f>
        <v/>
      </c>
    </row>
    <row r="547">
      <c r="A547" s="2" t="n">
        <v>45247</v>
      </c>
      <c r="B547" s="3" t="n">
        <v>19731.8</v>
      </c>
      <c r="C547" s="3" t="n">
        <v>19731.8</v>
      </c>
      <c r="D547" s="3" t="n">
        <v>1255.15</v>
      </c>
      <c r="E547" s="3" t="n">
        <v>1231.45</v>
      </c>
      <c r="F547" s="4">
        <f>C547/C546-1</f>
        <v/>
      </c>
      <c r="G547" s="4">
        <f>E547/E546-1</f>
        <v/>
      </c>
    </row>
    <row r="548">
      <c r="A548" s="2" t="n">
        <v>45250</v>
      </c>
      <c r="B548" s="3" t="n">
        <v>19694</v>
      </c>
      <c r="C548" s="3" t="n">
        <v>19694</v>
      </c>
      <c r="D548" s="3" t="n">
        <v>1241.78</v>
      </c>
      <c r="E548" s="3" t="n">
        <v>1218.33</v>
      </c>
      <c r="F548" s="4">
        <f>C548/C547-1</f>
        <v/>
      </c>
      <c r="G548" s="4">
        <f>E548/E547-1</f>
        <v/>
      </c>
    </row>
    <row r="549">
      <c r="A549" s="2" t="n">
        <v>45251</v>
      </c>
      <c r="B549" s="3" t="n">
        <v>19783.4</v>
      </c>
      <c r="C549" s="3" t="n">
        <v>19783.4</v>
      </c>
      <c r="D549" s="3" t="n">
        <v>1247.8</v>
      </c>
      <c r="E549" s="3" t="n">
        <v>1224.24</v>
      </c>
      <c r="F549" s="4">
        <f>C549/C548-1</f>
        <v/>
      </c>
      <c r="G549" s="4">
        <f>E549/E548-1</f>
        <v/>
      </c>
    </row>
    <row r="550">
      <c r="A550" s="2" t="n">
        <v>45252</v>
      </c>
      <c r="B550" s="3" t="n">
        <v>19811.85</v>
      </c>
      <c r="C550" s="3" t="n">
        <v>19811.85</v>
      </c>
      <c r="D550" s="3" t="n">
        <v>1244.18</v>
      </c>
      <c r="E550" s="3" t="n">
        <v>1220.68</v>
      </c>
      <c r="F550" s="4">
        <f>C550/C549-1</f>
        <v/>
      </c>
      <c r="G550" s="4">
        <f>E550/E549-1</f>
        <v/>
      </c>
    </row>
    <row r="551">
      <c r="A551" s="2" t="n">
        <v>45253</v>
      </c>
      <c r="B551" s="3" t="n">
        <v>19802</v>
      </c>
      <c r="C551" s="3" t="n">
        <v>19802</v>
      </c>
      <c r="D551" s="3" t="n">
        <v>1254.65</v>
      </c>
      <c r="E551" s="3" t="n">
        <v>1230.96</v>
      </c>
      <c r="F551" s="4">
        <f>C551/C550-1</f>
        <v/>
      </c>
      <c r="G551" s="4">
        <f>E551/E550-1</f>
        <v/>
      </c>
    </row>
    <row r="552">
      <c r="A552" s="2" t="n">
        <v>45254</v>
      </c>
      <c r="B552" s="3" t="n">
        <v>19794.7</v>
      </c>
      <c r="C552" s="3" t="n">
        <v>19794.7</v>
      </c>
      <c r="D552" s="3" t="n">
        <v>1252.05</v>
      </c>
      <c r="E552" s="3" t="n">
        <v>1228.41</v>
      </c>
      <c r="F552" s="4">
        <f>C552/C551-1</f>
        <v/>
      </c>
      <c r="G552" s="4">
        <f>E552/E551-1</f>
        <v/>
      </c>
    </row>
    <row r="553">
      <c r="A553" s="2" t="n">
        <v>45258</v>
      </c>
      <c r="B553" s="3" t="n">
        <v>19889.7</v>
      </c>
      <c r="C553" s="3" t="n">
        <v>19889.7</v>
      </c>
      <c r="D553" s="3" t="n">
        <v>1244.03</v>
      </c>
      <c r="E553" s="3" t="n">
        <v>1220.53</v>
      </c>
      <c r="F553" s="4">
        <f>C553/C552-1</f>
        <v/>
      </c>
      <c r="G553" s="4">
        <f>E553/E552-1</f>
        <v/>
      </c>
    </row>
    <row r="554">
      <c r="A554" s="2" t="n">
        <v>45259</v>
      </c>
      <c r="B554" s="3" t="n">
        <v>20096.6</v>
      </c>
      <c r="C554" s="3" t="n">
        <v>20096.6</v>
      </c>
      <c r="D554" s="3" t="n">
        <v>1251.8</v>
      </c>
      <c r="E554" s="3" t="n">
        <v>1228.16</v>
      </c>
      <c r="F554" s="4">
        <f>C554/C553-1</f>
        <v/>
      </c>
      <c r="G554" s="4">
        <f>E554/E553-1</f>
        <v/>
      </c>
    </row>
    <row r="555">
      <c r="A555" s="2" t="n">
        <v>45260</v>
      </c>
      <c r="B555" s="3" t="n">
        <v>20133.15</v>
      </c>
      <c r="C555" s="3" t="n">
        <v>20133.15</v>
      </c>
      <c r="D555" s="3" t="n">
        <v>1276.18</v>
      </c>
      <c r="E555" s="3" t="n">
        <v>1252.08</v>
      </c>
      <c r="F555" s="4">
        <f>C555/C554-1</f>
        <v/>
      </c>
      <c r="G555" s="4">
        <f>E555/E554-1</f>
        <v/>
      </c>
    </row>
    <row r="556">
      <c r="A556" s="2" t="n">
        <v>45261</v>
      </c>
      <c r="B556" s="3" t="n">
        <v>20267.9</v>
      </c>
      <c r="C556" s="3" t="n">
        <v>20267.9</v>
      </c>
      <c r="D556" s="3" t="n">
        <v>1281.07</v>
      </c>
      <c r="E556" s="3" t="n">
        <v>1256.88</v>
      </c>
      <c r="F556" s="4">
        <f>C556/C555-1</f>
        <v/>
      </c>
      <c r="G556" s="4">
        <f>E556/E555-1</f>
        <v/>
      </c>
    </row>
    <row r="557">
      <c r="A557" s="2" t="n">
        <v>45264</v>
      </c>
      <c r="B557" s="3" t="n">
        <v>20686.8</v>
      </c>
      <c r="C557" s="3" t="n">
        <v>20686.8</v>
      </c>
      <c r="D557" s="3" t="n">
        <v>1276.72</v>
      </c>
      <c r="E557" s="3" t="n">
        <v>1252.62</v>
      </c>
      <c r="F557" s="4">
        <f>C557/C556-1</f>
        <v/>
      </c>
      <c r="G557" s="4">
        <f>E557/E556-1</f>
        <v/>
      </c>
    </row>
    <row r="558">
      <c r="A558" s="2" t="n">
        <v>45265</v>
      </c>
      <c r="B558" s="3" t="n">
        <v>20855.1</v>
      </c>
      <c r="C558" s="3" t="n">
        <v>20855.1</v>
      </c>
      <c r="D558" s="3" t="n">
        <v>1285.5</v>
      </c>
      <c r="E558" s="3" t="n">
        <v>1261.23</v>
      </c>
      <c r="F558" s="4">
        <f>C558/C557-1</f>
        <v/>
      </c>
      <c r="G558" s="4">
        <f>E558/E557-1</f>
        <v/>
      </c>
    </row>
    <row r="559">
      <c r="A559" s="2" t="n">
        <v>45266</v>
      </c>
      <c r="B559" s="3" t="n">
        <v>20937.7</v>
      </c>
      <c r="C559" s="3" t="n">
        <v>20937.7</v>
      </c>
      <c r="D559" s="3" t="n">
        <v>1288.07</v>
      </c>
      <c r="E559" s="3" t="n">
        <v>1263.75</v>
      </c>
      <c r="F559" s="4">
        <f>C559/C558-1</f>
        <v/>
      </c>
      <c r="G559" s="4">
        <f>E559/E558-1</f>
        <v/>
      </c>
    </row>
    <row r="560">
      <c r="A560" s="2" t="n">
        <v>45267</v>
      </c>
      <c r="B560" s="3" t="n">
        <v>20901.15</v>
      </c>
      <c r="C560" s="3" t="n">
        <v>20901.15</v>
      </c>
      <c r="D560" s="3" t="n">
        <v>1294.43</v>
      </c>
      <c r="E560" s="3" t="n">
        <v>1269.98</v>
      </c>
      <c r="F560" s="4">
        <f>C560/C559-1</f>
        <v/>
      </c>
      <c r="G560" s="4">
        <f>E560/E559-1</f>
        <v/>
      </c>
    </row>
    <row r="561">
      <c r="A561" s="2" t="n">
        <v>45268</v>
      </c>
      <c r="B561" s="3" t="n">
        <v>20969.4</v>
      </c>
      <c r="C561" s="3" t="n">
        <v>20969.4</v>
      </c>
      <c r="D561" s="3" t="n">
        <v>1280.82</v>
      </c>
      <c r="E561" s="3" t="n">
        <v>1256.64</v>
      </c>
      <c r="F561" s="4">
        <f>C561/C560-1</f>
        <v/>
      </c>
      <c r="G561" s="4">
        <f>E561/E560-1</f>
        <v/>
      </c>
    </row>
    <row r="562">
      <c r="A562" s="2" t="n">
        <v>45271</v>
      </c>
      <c r="B562" s="3" t="n">
        <v>20997.1</v>
      </c>
      <c r="C562" s="3" t="n">
        <v>20997.1</v>
      </c>
      <c r="D562" s="3" t="n">
        <v>1272.78</v>
      </c>
      <c r="E562" s="3" t="n">
        <v>1248.74</v>
      </c>
      <c r="F562" s="4">
        <f>C562/C561-1</f>
        <v/>
      </c>
      <c r="G562" s="4">
        <f>E562/E561-1</f>
        <v/>
      </c>
    </row>
    <row r="563">
      <c r="A563" s="2" t="n">
        <v>45272</v>
      </c>
      <c r="B563" s="3" t="n">
        <v>20906.4</v>
      </c>
      <c r="C563" s="3" t="n">
        <v>20906.4</v>
      </c>
      <c r="D563" s="3" t="n">
        <v>1303.75</v>
      </c>
      <c r="E563" s="3" t="n">
        <v>1279.13</v>
      </c>
      <c r="F563" s="4">
        <f>C563/C562-1</f>
        <v/>
      </c>
      <c r="G563" s="4">
        <f>E563/E562-1</f>
        <v/>
      </c>
    </row>
    <row r="564">
      <c r="A564" s="2" t="n">
        <v>45273</v>
      </c>
      <c r="B564" s="3" t="n">
        <v>20926.35</v>
      </c>
      <c r="C564" s="3" t="n">
        <v>20926.35</v>
      </c>
      <c r="D564" s="3" t="n">
        <v>1311.62</v>
      </c>
      <c r="E564" s="3" t="n">
        <v>1286.86</v>
      </c>
      <c r="F564" s="4">
        <f>C564/C563-1</f>
        <v/>
      </c>
      <c r="G564" s="4">
        <f>E564/E563-1</f>
        <v/>
      </c>
    </row>
    <row r="565">
      <c r="A565" s="2" t="n">
        <v>45274</v>
      </c>
      <c r="B565" s="3" t="n">
        <v>21182.7</v>
      </c>
      <c r="C565" s="3" t="n">
        <v>21182.7</v>
      </c>
      <c r="D565" s="3" t="n">
        <v>1317.15</v>
      </c>
      <c r="E565" s="3" t="n">
        <v>1292.28</v>
      </c>
      <c r="F565" s="4">
        <f>C565/C564-1</f>
        <v/>
      </c>
      <c r="G565" s="4">
        <f>E565/E564-1</f>
        <v/>
      </c>
    </row>
    <row r="566">
      <c r="A566" s="2" t="n">
        <v>45275</v>
      </c>
      <c r="B566" s="3" t="n">
        <v>21456.65</v>
      </c>
      <c r="C566" s="3" t="n">
        <v>21456.65</v>
      </c>
      <c r="D566" s="3" t="n">
        <v>1325.53</v>
      </c>
      <c r="E566" s="3" t="n">
        <v>1300.49</v>
      </c>
      <c r="F566" s="4">
        <f>C566/C565-1</f>
        <v/>
      </c>
      <c r="G566" s="4">
        <f>E566/E565-1</f>
        <v/>
      </c>
    </row>
    <row r="567">
      <c r="A567" s="2" t="n">
        <v>45278</v>
      </c>
      <c r="B567" s="3" t="n">
        <v>21418.65</v>
      </c>
      <c r="C567" s="3" t="n">
        <v>21418.65</v>
      </c>
      <c r="D567" s="3" t="n">
        <v>1323.75</v>
      </c>
      <c r="E567" s="3" t="n">
        <v>1298.75</v>
      </c>
      <c r="F567" s="4">
        <f>C567/C566-1</f>
        <v/>
      </c>
      <c r="G567" s="4">
        <f>E567/E566-1</f>
        <v/>
      </c>
    </row>
    <row r="568">
      <c r="A568" s="2" t="n">
        <v>45279</v>
      </c>
      <c r="B568" s="3" t="n">
        <v>21453.1</v>
      </c>
      <c r="C568" s="3" t="n">
        <v>21453.1</v>
      </c>
      <c r="D568" s="3" t="n">
        <v>1324.38</v>
      </c>
      <c r="E568" s="3" t="n">
        <v>1299.37</v>
      </c>
      <c r="F568" s="4">
        <f>C568/C567-1</f>
        <v/>
      </c>
      <c r="G568" s="4">
        <f>E568/E567-1</f>
        <v/>
      </c>
    </row>
    <row r="569">
      <c r="A569" s="2" t="n">
        <v>45280</v>
      </c>
      <c r="B569" s="3" t="n">
        <v>21150.15</v>
      </c>
      <c r="C569" s="3" t="n">
        <v>21150.15</v>
      </c>
      <c r="D569" s="3" t="n">
        <v>1292.1</v>
      </c>
      <c r="E569" s="3" t="n">
        <v>1267.7</v>
      </c>
      <c r="F569" s="4">
        <f>C569/C568-1</f>
        <v/>
      </c>
      <c r="G569" s="4">
        <f>E569/E568-1</f>
        <v/>
      </c>
    </row>
    <row r="570">
      <c r="A570" s="2" t="n">
        <v>45281</v>
      </c>
      <c r="B570" s="3" t="n">
        <v>21255.05</v>
      </c>
      <c r="C570" s="3" t="n">
        <v>21255.05</v>
      </c>
      <c r="D570" s="3" t="n">
        <v>1308.05</v>
      </c>
      <c r="E570" s="3" t="n">
        <v>1283.35</v>
      </c>
      <c r="F570" s="4">
        <f>C570/C569-1</f>
        <v/>
      </c>
      <c r="G570" s="4">
        <f>E570/E569-1</f>
        <v/>
      </c>
    </row>
    <row r="571">
      <c r="A571" s="2" t="n">
        <v>45282</v>
      </c>
      <c r="B571" s="3" t="n">
        <v>21349.4</v>
      </c>
      <c r="C571" s="3" t="n">
        <v>21349.4</v>
      </c>
      <c r="D571" s="3" t="n">
        <v>1321.72</v>
      </c>
      <c r="E571" s="3" t="n">
        <v>1296.77</v>
      </c>
      <c r="F571" s="4">
        <f>C571/C570-1</f>
        <v/>
      </c>
      <c r="G571" s="4">
        <f>E571/E570-1</f>
        <v/>
      </c>
    </row>
    <row r="572">
      <c r="A572" s="2" t="n">
        <v>45286</v>
      </c>
      <c r="B572" s="3" t="n">
        <v>21441.35</v>
      </c>
      <c r="C572" s="3" t="n">
        <v>21441.35</v>
      </c>
      <c r="D572" s="3" t="n">
        <v>1333.97</v>
      </c>
      <c r="E572" s="3" t="n">
        <v>1308.79</v>
      </c>
      <c r="F572" s="4">
        <f>C572/C571-1</f>
        <v/>
      </c>
      <c r="G572" s="4">
        <f>E572/E571-1</f>
        <v/>
      </c>
    </row>
    <row r="573">
      <c r="A573" s="2" t="n">
        <v>45287</v>
      </c>
      <c r="B573" s="3" t="n">
        <v>21654.75</v>
      </c>
      <c r="C573" s="3" t="n">
        <v>21654.75</v>
      </c>
      <c r="D573" s="3" t="n">
        <v>1349.55</v>
      </c>
      <c r="E573" s="3" t="n">
        <v>1324.07</v>
      </c>
      <c r="F573" s="4">
        <f>C573/C572-1</f>
        <v/>
      </c>
      <c r="G573" s="4">
        <f>E573/E572-1</f>
        <v/>
      </c>
    </row>
    <row r="574">
      <c r="A574" s="2" t="n">
        <v>45288</v>
      </c>
      <c r="B574" s="3" t="n">
        <v>21778.7</v>
      </c>
      <c r="C574" s="3" t="n">
        <v>21778.7</v>
      </c>
      <c r="D574" s="3" t="n">
        <v>1354.15</v>
      </c>
      <c r="E574" s="3" t="n">
        <v>1328.58</v>
      </c>
      <c r="F574" s="4">
        <f>C574/C573-1</f>
        <v/>
      </c>
      <c r="G574" s="4">
        <f>E574/E573-1</f>
        <v/>
      </c>
    </row>
    <row r="575">
      <c r="A575" s="2" t="n">
        <v>45289</v>
      </c>
      <c r="B575" s="3" t="n">
        <v>21731.4</v>
      </c>
      <c r="C575" s="3" t="n">
        <v>21731.4</v>
      </c>
      <c r="D575" s="3" t="n">
        <v>1357.55</v>
      </c>
      <c r="E575" s="3" t="n">
        <v>1331.92</v>
      </c>
      <c r="F575" s="4">
        <f>C575/C574-1</f>
        <v/>
      </c>
      <c r="G575" s="4">
        <f>E575/E574-1</f>
        <v/>
      </c>
    </row>
    <row r="576">
      <c r="A576" s="2" t="n">
        <v>45292</v>
      </c>
      <c r="B576" s="3" t="n">
        <v>21741.9</v>
      </c>
      <c r="C576" s="3" t="n">
        <v>21741.9</v>
      </c>
      <c r="D576" s="3" t="n">
        <v>1348.75</v>
      </c>
      <c r="E576" s="3" t="n">
        <v>1323.28</v>
      </c>
      <c r="F576" s="4">
        <f>C576/C575-1</f>
        <v/>
      </c>
      <c r="G576" s="4">
        <f>E576/E575-1</f>
        <v/>
      </c>
    </row>
    <row r="577">
      <c r="A577" s="2" t="n">
        <v>45293</v>
      </c>
      <c r="B577" s="3" t="n">
        <v>21665.8</v>
      </c>
      <c r="C577" s="3" t="n">
        <v>21665.8</v>
      </c>
      <c r="D577" s="3" t="n">
        <v>1368.85</v>
      </c>
      <c r="E577" s="3" t="n">
        <v>1343</v>
      </c>
      <c r="F577" s="4">
        <f>C577/C576-1</f>
        <v/>
      </c>
      <c r="G577" s="4">
        <f>E577/E576-1</f>
        <v/>
      </c>
    </row>
    <row r="578">
      <c r="A578" s="2" t="n">
        <v>45294</v>
      </c>
      <c r="B578" s="3" t="n">
        <v>21517.35</v>
      </c>
      <c r="C578" s="3" t="n">
        <v>21517.35</v>
      </c>
      <c r="D578" s="3" t="n">
        <v>1386.12</v>
      </c>
      <c r="E578" s="3" t="n">
        <v>1359.95</v>
      </c>
      <c r="F578" s="4">
        <f>C578/C577-1</f>
        <v/>
      </c>
      <c r="G578" s="4">
        <f>E578/E577-1</f>
        <v/>
      </c>
    </row>
    <row r="579">
      <c r="A579" s="2" t="n">
        <v>45295</v>
      </c>
      <c r="B579" s="3" t="n">
        <v>21658.6</v>
      </c>
      <c r="C579" s="3" t="n">
        <v>21658.6</v>
      </c>
      <c r="D579" s="3" t="n">
        <v>1384.53</v>
      </c>
      <c r="E579" s="3" t="n">
        <v>1358.38</v>
      </c>
      <c r="F579" s="4">
        <f>C579/C578-1</f>
        <v/>
      </c>
      <c r="G579" s="4">
        <f>E579/E578-1</f>
        <v/>
      </c>
    </row>
    <row r="580">
      <c r="A580" s="2" t="n">
        <v>45296</v>
      </c>
      <c r="B580" s="3" t="n">
        <v>21710.8</v>
      </c>
      <c r="C580" s="3" t="n">
        <v>21710.8</v>
      </c>
      <c r="D580" s="3" t="n">
        <v>1361.3</v>
      </c>
      <c r="E580" s="3" t="n">
        <v>1335.59</v>
      </c>
      <c r="F580" s="4">
        <f>C580/C579-1</f>
        <v/>
      </c>
      <c r="G580" s="4">
        <f>E580/E579-1</f>
        <v/>
      </c>
    </row>
    <row r="581">
      <c r="A581" s="2" t="n">
        <v>45299</v>
      </c>
      <c r="B581" s="3" t="n">
        <v>21513</v>
      </c>
      <c r="C581" s="3" t="n">
        <v>21513</v>
      </c>
      <c r="D581" s="3" t="n">
        <v>1357.32</v>
      </c>
      <c r="E581" s="3" t="n">
        <v>1331.69</v>
      </c>
      <c r="F581" s="4">
        <f>C581/C580-1</f>
        <v/>
      </c>
      <c r="G581" s="4">
        <f>E581/E580-1</f>
        <v/>
      </c>
    </row>
    <row r="582">
      <c r="A582" s="2" t="n">
        <v>45300</v>
      </c>
      <c r="B582" s="3" t="n">
        <v>21544.85</v>
      </c>
      <c r="C582" s="3" t="n">
        <v>21544.85</v>
      </c>
      <c r="D582" s="3" t="n">
        <v>1362.05</v>
      </c>
      <c r="E582" s="3" t="n">
        <v>1336.33</v>
      </c>
      <c r="F582" s="4">
        <f>C582/C581-1</f>
        <v/>
      </c>
      <c r="G582" s="4">
        <f>E582/E581-1</f>
        <v/>
      </c>
    </row>
    <row r="583">
      <c r="A583" s="2" t="n">
        <v>45301</v>
      </c>
      <c r="B583" s="3" t="n">
        <v>21618.7</v>
      </c>
      <c r="C583" s="3" t="n">
        <v>21618.7</v>
      </c>
      <c r="D583" s="3" t="n">
        <v>1354.65</v>
      </c>
      <c r="E583" s="3" t="n">
        <v>1329.07</v>
      </c>
      <c r="F583" s="4">
        <f>C583/C582-1</f>
        <v/>
      </c>
      <c r="G583" s="4">
        <f>E583/E582-1</f>
        <v/>
      </c>
    </row>
    <row r="584">
      <c r="A584" s="2" t="n">
        <v>45302</v>
      </c>
      <c r="B584" s="3" t="n">
        <v>21647.2</v>
      </c>
      <c r="C584" s="3" t="n">
        <v>21647.2</v>
      </c>
      <c r="D584" s="3" t="n">
        <v>1370.28</v>
      </c>
      <c r="E584" s="3" t="n">
        <v>1344.4</v>
      </c>
      <c r="F584" s="4">
        <f>C584/C583-1</f>
        <v/>
      </c>
      <c r="G584" s="4">
        <f>E584/E583-1</f>
        <v/>
      </c>
    </row>
    <row r="585">
      <c r="A585" s="2" t="n">
        <v>45303</v>
      </c>
      <c r="B585" s="3" t="n">
        <v>21894.55</v>
      </c>
      <c r="C585" s="3" t="n">
        <v>21894.55</v>
      </c>
      <c r="D585" s="3" t="n">
        <v>1367.55</v>
      </c>
      <c r="E585" s="3" t="n">
        <v>1341.73</v>
      </c>
      <c r="F585" s="4">
        <f>C585/C584-1</f>
        <v/>
      </c>
      <c r="G585" s="4">
        <f>E585/E584-1</f>
        <v/>
      </c>
    </row>
    <row r="586">
      <c r="A586" s="2" t="n">
        <v>45306</v>
      </c>
      <c r="B586" s="3" t="n">
        <v>22097.45</v>
      </c>
      <c r="C586" s="3" t="n">
        <v>22097.45</v>
      </c>
      <c r="D586" s="3" t="n">
        <v>1377.12</v>
      </c>
      <c r="E586" s="3" t="n">
        <v>1351.12</v>
      </c>
      <c r="F586" s="4">
        <f>C586/C585-1</f>
        <v/>
      </c>
      <c r="G586" s="4">
        <f>E586/E585-1</f>
        <v/>
      </c>
    </row>
    <row r="587">
      <c r="A587" s="2" t="n">
        <v>45307</v>
      </c>
      <c r="B587" s="3" t="n">
        <v>22032.3</v>
      </c>
      <c r="C587" s="3" t="n">
        <v>22032.3</v>
      </c>
      <c r="D587" s="3" t="n">
        <v>1397.78</v>
      </c>
      <c r="E587" s="3" t="n">
        <v>1371.38</v>
      </c>
      <c r="F587" s="4">
        <f>C587/C586-1</f>
        <v/>
      </c>
      <c r="G587" s="4">
        <f>E587/E586-1</f>
        <v/>
      </c>
    </row>
    <row r="588">
      <c r="A588" s="2" t="n">
        <v>45308</v>
      </c>
      <c r="B588" s="3" t="n">
        <v>21571.95</v>
      </c>
      <c r="C588" s="3" t="n">
        <v>21571.95</v>
      </c>
      <c r="D588" s="3" t="n">
        <v>1378.88</v>
      </c>
      <c r="E588" s="3" t="n">
        <v>1352.84</v>
      </c>
      <c r="F588" s="4">
        <f>C588/C587-1</f>
        <v/>
      </c>
      <c r="G588" s="4">
        <f>E588/E587-1</f>
        <v/>
      </c>
    </row>
    <row r="589">
      <c r="A589" s="2" t="n">
        <v>45309</v>
      </c>
      <c r="B589" s="3" t="n">
        <v>21462.25</v>
      </c>
      <c r="C589" s="3" t="n">
        <v>21462.25</v>
      </c>
      <c r="D589" s="3" t="n">
        <v>1349.2</v>
      </c>
      <c r="E589" s="3" t="n">
        <v>1323.72</v>
      </c>
      <c r="F589" s="4">
        <f>C589/C588-1</f>
        <v/>
      </c>
      <c r="G589" s="4">
        <f>E589/E588-1</f>
        <v/>
      </c>
    </row>
    <row r="590">
      <c r="A590" s="2" t="n">
        <v>45310</v>
      </c>
      <c r="B590" s="3" t="n">
        <v>21622.4</v>
      </c>
      <c r="C590" s="3" t="n">
        <v>21622.4</v>
      </c>
      <c r="D590" s="3" t="n">
        <v>1343.85</v>
      </c>
      <c r="E590" s="3" t="n">
        <v>1318.47</v>
      </c>
      <c r="F590" s="4">
        <f>C590/C589-1</f>
        <v/>
      </c>
      <c r="G590" s="4">
        <f>E590/E589-1</f>
        <v/>
      </c>
    </row>
    <row r="591">
      <c r="A591" s="2" t="n">
        <v>45314</v>
      </c>
      <c r="B591" s="3" t="n">
        <v>21238.8</v>
      </c>
      <c r="C591" s="3" t="n">
        <v>21238.8</v>
      </c>
      <c r="D591" s="3" t="n">
        <v>1261.3</v>
      </c>
      <c r="E591" s="3" t="n">
        <v>1237.48</v>
      </c>
      <c r="F591" s="4">
        <f>C591/C590-1</f>
        <v/>
      </c>
      <c r="G591" s="4">
        <f>E591/E590-1</f>
        <v/>
      </c>
    </row>
    <row r="592">
      <c r="A592" s="2" t="n">
        <v>45315</v>
      </c>
      <c r="B592" s="3" t="n">
        <v>21453.95</v>
      </c>
      <c r="C592" s="3" t="n">
        <v>21453.95</v>
      </c>
      <c r="D592" s="3" t="n">
        <v>1296.03</v>
      </c>
      <c r="E592" s="3" t="n">
        <v>1271.55</v>
      </c>
      <c r="F592" s="4">
        <f>C592/C591-1</f>
        <v/>
      </c>
      <c r="G592" s="4">
        <f>E592/E591-1</f>
        <v/>
      </c>
    </row>
    <row r="593">
      <c r="A593" s="2" t="n">
        <v>45316</v>
      </c>
      <c r="B593" s="3" t="n">
        <v>21352.6</v>
      </c>
      <c r="C593" s="3" t="n">
        <v>21352.6</v>
      </c>
      <c r="D593" s="3" t="n">
        <v>1295.07</v>
      </c>
      <c r="E593" s="3" t="n">
        <v>1270.62</v>
      </c>
      <c r="F593" s="4">
        <f>C593/C592-1</f>
        <v/>
      </c>
      <c r="G593" s="4">
        <f>E593/E592-1</f>
        <v/>
      </c>
    </row>
    <row r="594">
      <c r="A594" s="2" t="n">
        <v>45320</v>
      </c>
      <c r="B594" s="3" t="n">
        <v>21737.6</v>
      </c>
      <c r="C594" s="3" t="n">
        <v>21737.6</v>
      </c>
      <c r="D594" s="3" t="n">
        <v>1284.65</v>
      </c>
      <c r="E594" s="3" t="n">
        <v>1260.39</v>
      </c>
      <c r="F594" s="4">
        <f>C594/C593-1</f>
        <v/>
      </c>
      <c r="G594" s="4">
        <f>E594/E593-1</f>
        <v/>
      </c>
    </row>
    <row r="595">
      <c r="A595" s="2" t="n">
        <v>45321</v>
      </c>
      <c r="B595" s="3" t="n">
        <v>21522.1</v>
      </c>
      <c r="C595" s="3" t="n">
        <v>21522.1</v>
      </c>
      <c r="D595" s="3" t="n">
        <v>1283.85</v>
      </c>
      <c r="E595" s="3" t="n">
        <v>1259.61</v>
      </c>
      <c r="F595" s="4">
        <f>C595/C594-1</f>
        <v/>
      </c>
      <c r="G595" s="4">
        <f>E595/E594-1</f>
        <v/>
      </c>
    </row>
    <row r="596">
      <c r="A596" s="2" t="n">
        <v>45322</v>
      </c>
      <c r="B596" s="3" t="n">
        <v>21725.7</v>
      </c>
      <c r="C596" s="3" t="n">
        <v>21725.7</v>
      </c>
      <c r="D596" s="3" t="n">
        <v>1266.53</v>
      </c>
      <c r="E596" s="3" t="n">
        <v>1242.61</v>
      </c>
      <c r="F596" s="4">
        <f>C596/C595-1</f>
        <v/>
      </c>
      <c r="G596" s="4">
        <f>E596/E595-1</f>
        <v/>
      </c>
    </row>
    <row r="597">
      <c r="A597" s="2" t="n">
        <v>45323</v>
      </c>
      <c r="B597" s="3" t="n">
        <v>21697.45</v>
      </c>
      <c r="C597" s="3" t="n">
        <v>21697.45</v>
      </c>
      <c r="D597" s="3" t="n">
        <v>1255.22</v>
      </c>
      <c r="E597" s="3" t="n">
        <v>1231.52</v>
      </c>
      <c r="F597" s="4">
        <f>C597/C596-1</f>
        <v/>
      </c>
      <c r="G597" s="4">
        <f>E597/E596-1</f>
        <v/>
      </c>
    </row>
    <row r="598">
      <c r="A598" s="2" t="n">
        <v>45324</v>
      </c>
      <c r="B598" s="3" t="n">
        <v>21853.8</v>
      </c>
      <c r="C598" s="3" t="n">
        <v>21853.8</v>
      </c>
      <c r="D598" s="3" t="n">
        <v>1257.68</v>
      </c>
      <c r="E598" s="3" t="n">
        <v>1233.93</v>
      </c>
      <c r="F598" s="4">
        <f>C598/C597-1</f>
        <v/>
      </c>
      <c r="G598" s="4">
        <f>E598/E597-1</f>
        <v/>
      </c>
    </row>
    <row r="599">
      <c r="A599" s="2" t="n">
        <v>45327</v>
      </c>
      <c r="B599" s="3" t="n">
        <v>21771.7</v>
      </c>
      <c r="C599" s="3" t="n">
        <v>21771.7</v>
      </c>
      <c r="D599" s="3" t="n">
        <v>1277.1</v>
      </c>
      <c r="E599" s="3" t="n">
        <v>1252.98</v>
      </c>
      <c r="F599" s="4">
        <f>C599/C598-1</f>
        <v/>
      </c>
      <c r="G599" s="4">
        <f>E599/E598-1</f>
        <v/>
      </c>
    </row>
    <row r="600">
      <c r="A600" s="2" t="n">
        <v>45328</v>
      </c>
      <c r="B600" s="3" t="n">
        <v>21929.4</v>
      </c>
      <c r="C600" s="3" t="n">
        <v>21929.4</v>
      </c>
      <c r="D600" s="3" t="n">
        <v>1307.22</v>
      </c>
      <c r="E600" s="3" t="n">
        <v>1282.54</v>
      </c>
      <c r="F600" s="4">
        <f>C600/C599-1</f>
        <v/>
      </c>
      <c r="G600" s="4">
        <f>E600/E599-1</f>
        <v/>
      </c>
    </row>
    <row r="601">
      <c r="A601" s="2" t="n">
        <v>45329</v>
      </c>
      <c r="B601" s="3" t="n">
        <v>21930.5</v>
      </c>
      <c r="C601" s="3" t="n">
        <v>21930.5</v>
      </c>
      <c r="D601" s="3" t="n">
        <v>1347.93</v>
      </c>
      <c r="E601" s="3" t="n">
        <v>1322.47</v>
      </c>
      <c r="F601" s="4">
        <f>C601/C600-1</f>
        <v/>
      </c>
      <c r="G601" s="4">
        <f>E601/E600-1</f>
        <v/>
      </c>
    </row>
    <row r="602">
      <c r="A602" s="2" t="n">
        <v>45330</v>
      </c>
      <c r="B602" s="3" t="n">
        <v>21717.95</v>
      </c>
      <c r="C602" s="3" t="n">
        <v>21717.95</v>
      </c>
      <c r="D602" s="3" t="n">
        <v>1311.25</v>
      </c>
      <c r="E602" s="3" t="n">
        <v>1286.49</v>
      </c>
      <c r="F602" s="4">
        <f>C602/C601-1</f>
        <v/>
      </c>
      <c r="G602" s="4">
        <f>E602/E601-1</f>
        <v/>
      </c>
    </row>
    <row r="603">
      <c r="A603" s="2" t="n">
        <v>45331</v>
      </c>
      <c r="B603" s="3" t="n">
        <v>21782.5</v>
      </c>
      <c r="C603" s="3" t="n">
        <v>21782.5</v>
      </c>
      <c r="D603" s="3" t="n">
        <v>1328.97</v>
      </c>
      <c r="E603" s="3" t="n">
        <v>1303.88</v>
      </c>
      <c r="F603" s="4">
        <f>C603/C602-1</f>
        <v/>
      </c>
      <c r="G603" s="4">
        <f>E603/E602-1</f>
        <v/>
      </c>
    </row>
    <row r="604">
      <c r="A604" s="2" t="n">
        <v>45334</v>
      </c>
      <c r="B604" s="3" t="n">
        <v>21616.05</v>
      </c>
      <c r="C604" s="3" t="n">
        <v>21616.05</v>
      </c>
      <c r="D604" s="3" t="n">
        <v>1335.15</v>
      </c>
      <c r="E604" s="3" t="n">
        <v>1309.94</v>
      </c>
      <c r="F604" s="4">
        <f>C604/C603-1</f>
        <v/>
      </c>
      <c r="G604" s="4">
        <f>E604/E603-1</f>
        <v/>
      </c>
    </row>
    <row r="605">
      <c r="A605" s="2" t="n">
        <v>45335</v>
      </c>
      <c r="B605" s="3" t="n">
        <v>21743.25</v>
      </c>
      <c r="C605" s="3" t="n">
        <v>21743.25</v>
      </c>
      <c r="D605" s="3" t="n">
        <v>1335.65</v>
      </c>
      <c r="E605" s="3" t="n">
        <v>1310.43</v>
      </c>
      <c r="F605" s="4">
        <f>C605/C604-1</f>
        <v/>
      </c>
      <c r="G605" s="4">
        <f>E605/E604-1</f>
        <v/>
      </c>
    </row>
    <row r="606">
      <c r="A606" s="2" t="n">
        <v>45336</v>
      </c>
      <c r="B606" s="3" t="n">
        <v>21840.05</v>
      </c>
      <c r="C606" s="3" t="n">
        <v>21840.05</v>
      </c>
      <c r="D606" s="3" t="n">
        <v>1331.6</v>
      </c>
      <c r="E606" s="3" t="n">
        <v>1306.45</v>
      </c>
      <c r="F606" s="4">
        <f>C606/C605-1</f>
        <v/>
      </c>
      <c r="G606" s="4">
        <f>E606/E605-1</f>
        <v/>
      </c>
    </row>
    <row r="607">
      <c r="A607" s="2" t="n">
        <v>45337</v>
      </c>
      <c r="B607" s="3" t="n">
        <v>21910.75</v>
      </c>
      <c r="C607" s="3" t="n">
        <v>21910.75</v>
      </c>
      <c r="D607" s="3" t="n">
        <v>1326.78</v>
      </c>
      <c r="E607" s="3" t="n">
        <v>1301.72</v>
      </c>
      <c r="F607" s="4">
        <f>C607/C606-1</f>
        <v/>
      </c>
      <c r="G607" s="4">
        <f>E607/E606-1</f>
        <v/>
      </c>
    </row>
    <row r="608">
      <c r="A608" s="2" t="n">
        <v>45338</v>
      </c>
      <c r="B608" s="3" t="n">
        <v>22040.7</v>
      </c>
      <c r="C608" s="3" t="n">
        <v>22040.7</v>
      </c>
      <c r="D608" s="3" t="n">
        <v>1355.55</v>
      </c>
      <c r="E608" s="3" t="n">
        <v>1329.95</v>
      </c>
      <c r="F608" s="4">
        <f>C608/C607-1</f>
        <v/>
      </c>
      <c r="G608" s="4">
        <f>E608/E607-1</f>
        <v/>
      </c>
    </row>
    <row r="609">
      <c r="A609" s="2" t="n">
        <v>45341</v>
      </c>
      <c r="B609" s="3" t="n">
        <v>22122.25</v>
      </c>
      <c r="C609" s="3" t="n">
        <v>22122.25</v>
      </c>
      <c r="D609" s="3" t="n">
        <v>1355.57</v>
      </c>
      <c r="E609" s="3" t="n">
        <v>1329.98</v>
      </c>
      <c r="F609" s="4">
        <f>C609/C608-1</f>
        <v/>
      </c>
      <c r="G609" s="4">
        <f>E609/E608-1</f>
        <v/>
      </c>
    </row>
    <row r="610">
      <c r="A610" s="2" t="n">
        <v>45342</v>
      </c>
      <c r="B610" s="3" t="n">
        <v>22196.95</v>
      </c>
      <c r="C610" s="3" t="n">
        <v>22196.95</v>
      </c>
      <c r="D610" s="3" t="n">
        <v>1372.8</v>
      </c>
      <c r="E610" s="3" t="n">
        <v>1346.88</v>
      </c>
      <c r="F610" s="4">
        <f>C610/C609-1</f>
        <v/>
      </c>
      <c r="G610" s="4">
        <f>E610/E609-1</f>
        <v/>
      </c>
    </row>
    <row r="611">
      <c r="A611" s="2" t="n">
        <v>45343</v>
      </c>
      <c r="B611" s="3" t="n">
        <v>22055.05</v>
      </c>
      <c r="C611" s="3" t="n">
        <v>22055.05</v>
      </c>
      <c r="D611" s="3" t="n">
        <v>1364.57</v>
      </c>
      <c r="E611" s="3" t="n">
        <v>1338.81</v>
      </c>
      <c r="F611" s="4">
        <f>C611/C610-1</f>
        <v/>
      </c>
      <c r="G611" s="4">
        <f>E611/E610-1</f>
        <v/>
      </c>
    </row>
    <row r="612">
      <c r="A612" s="2" t="n">
        <v>45344</v>
      </c>
      <c r="B612" s="3" t="n">
        <v>22217.45</v>
      </c>
      <c r="C612" s="3" t="n">
        <v>22217.45</v>
      </c>
      <c r="D612" s="3" t="n">
        <v>1359.15</v>
      </c>
      <c r="E612" s="3" t="n">
        <v>1333.48</v>
      </c>
      <c r="F612" s="4">
        <f>C612/C611-1</f>
        <v/>
      </c>
      <c r="G612" s="4">
        <f>E612/E611-1</f>
        <v/>
      </c>
    </row>
    <row r="613">
      <c r="A613" s="2" t="n">
        <v>45345</v>
      </c>
      <c r="B613" s="3" t="n">
        <v>22212.7</v>
      </c>
      <c r="C613" s="3" t="n">
        <v>22212.7</v>
      </c>
      <c r="D613" s="3" t="n">
        <v>1370.07</v>
      </c>
      <c r="E613" s="3" t="n">
        <v>1344.2</v>
      </c>
      <c r="F613" s="4">
        <f>C613/C612-1</f>
        <v/>
      </c>
      <c r="G613" s="4">
        <f>E613/E612-1</f>
        <v/>
      </c>
    </row>
    <row r="614">
      <c r="A614" s="2" t="n">
        <v>45348</v>
      </c>
      <c r="B614" s="3" t="n">
        <v>22122.05</v>
      </c>
      <c r="C614" s="3" t="n">
        <v>22122.05</v>
      </c>
      <c r="D614" s="3" t="n">
        <v>1358.7</v>
      </c>
      <c r="E614" s="3" t="n">
        <v>1333.04</v>
      </c>
      <c r="F614" s="4">
        <f>C614/C613-1</f>
        <v/>
      </c>
      <c r="G614" s="4">
        <f>E614/E613-1</f>
        <v/>
      </c>
    </row>
    <row r="615">
      <c r="A615" s="2" t="n">
        <v>45349</v>
      </c>
      <c r="B615" s="3" t="n">
        <v>22198.35</v>
      </c>
      <c r="C615" s="3" t="n">
        <v>22198.35</v>
      </c>
      <c r="D615" s="3" t="n">
        <v>1365.97</v>
      </c>
      <c r="E615" s="3" t="n">
        <v>1340.18</v>
      </c>
      <c r="F615" s="4">
        <f>C615/C614-1</f>
        <v/>
      </c>
      <c r="G615" s="4">
        <f>E615/E614-1</f>
        <v/>
      </c>
    </row>
    <row r="616">
      <c r="A616" s="2" t="n">
        <v>45350</v>
      </c>
      <c r="B616" s="3" t="n">
        <v>21951.15</v>
      </c>
      <c r="C616" s="3" t="n">
        <v>21951.15</v>
      </c>
      <c r="D616" s="3" t="n">
        <v>1350.93</v>
      </c>
      <c r="E616" s="3" t="n">
        <v>1325.42</v>
      </c>
      <c r="F616" s="4">
        <f>C616/C615-1</f>
        <v/>
      </c>
      <c r="G616" s="4">
        <f>E616/E615-1</f>
        <v/>
      </c>
    </row>
    <row r="617">
      <c r="A617" s="2" t="n">
        <v>45351</v>
      </c>
      <c r="B617" s="3" t="n">
        <v>21982.8</v>
      </c>
      <c r="C617" s="3" t="n">
        <v>21982.8</v>
      </c>
      <c r="D617" s="3" t="n">
        <v>1368</v>
      </c>
      <c r="E617" s="3" t="n">
        <v>1342.17</v>
      </c>
      <c r="F617" s="4">
        <f>C617/C616-1</f>
        <v/>
      </c>
      <c r="G617" s="4">
        <f>E617/E616-1</f>
        <v/>
      </c>
    </row>
    <row r="618">
      <c r="A618" s="2" t="n">
        <v>45352</v>
      </c>
      <c r="B618" s="3" t="n">
        <v>22338.75</v>
      </c>
      <c r="C618" s="3" t="n">
        <v>22338.75</v>
      </c>
      <c r="D618" s="3" t="n">
        <v>1378.75</v>
      </c>
      <c r="E618" s="3" t="n">
        <v>1352.71</v>
      </c>
      <c r="F618" s="4">
        <f>C618/C617-1</f>
        <v/>
      </c>
      <c r="G618" s="4">
        <f>E618/E617-1</f>
        <v/>
      </c>
    </row>
    <row r="619">
      <c r="A619" s="2" t="n">
        <v>45355</v>
      </c>
      <c r="B619" s="3" t="n">
        <v>22405.6</v>
      </c>
      <c r="C619" s="3" t="n">
        <v>22405.6</v>
      </c>
      <c r="D619" s="3" t="n">
        <v>1351.03</v>
      </c>
      <c r="E619" s="3" t="n">
        <v>1325.51</v>
      </c>
      <c r="F619" s="4">
        <f>C619/C618-1</f>
        <v/>
      </c>
      <c r="G619" s="4">
        <f>E619/E618-1</f>
        <v/>
      </c>
    </row>
    <row r="620">
      <c r="A620" s="2" t="n">
        <v>45356</v>
      </c>
      <c r="B620" s="3" t="n">
        <v>22356.3</v>
      </c>
      <c r="C620" s="3" t="n">
        <v>22356.3</v>
      </c>
      <c r="D620" s="3" t="n">
        <v>1349.85</v>
      </c>
      <c r="E620" s="3" t="n">
        <v>1324.36</v>
      </c>
      <c r="F620" s="4">
        <f>C620/C619-1</f>
        <v/>
      </c>
      <c r="G620" s="4">
        <f>E620/E619-1</f>
        <v/>
      </c>
    </row>
    <row r="621">
      <c r="A621" s="2" t="n">
        <v>45357</v>
      </c>
      <c r="B621" s="3" t="n">
        <v>22474.05</v>
      </c>
      <c r="C621" s="3" t="n">
        <v>22474.05</v>
      </c>
      <c r="D621" s="3" t="n">
        <v>1415.78</v>
      </c>
      <c r="E621" s="3" t="n">
        <v>1389.04</v>
      </c>
      <c r="F621" s="4">
        <f>C621/C620-1</f>
        <v/>
      </c>
      <c r="G621" s="4">
        <f>E621/E620-1</f>
        <v/>
      </c>
    </row>
    <row r="622">
      <c r="A622" s="2" t="n">
        <v>45358</v>
      </c>
      <c r="B622" s="3" t="n">
        <v>22493.55</v>
      </c>
      <c r="C622" s="3" t="n">
        <v>22493.55</v>
      </c>
      <c r="D622" s="3" t="n">
        <v>1432.93</v>
      </c>
      <c r="E622" s="3" t="n">
        <v>1405.87</v>
      </c>
      <c r="F622" s="4">
        <f>C622/C621-1</f>
        <v/>
      </c>
      <c r="G622" s="4">
        <f>E622/E621-1</f>
        <v/>
      </c>
    </row>
    <row r="623">
      <c r="A623" s="2" t="n">
        <v>45362</v>
      </c>
      <c r="B623" s="3" t="n">
        <v>22332.65</v>
      </c>
      <c r="C623" s="3" t="n">
        <v>22332.65</v>
      </c>
      <c r="D623" s="3" t="n">
        <v>1453.2</v>
      </c>
      <c r="E623" s="3" t="n">
        <v>1425.76</v>
      </c>
      <c r="F623" s="4">
        <f>C623/C622-1</f>
        <v/>
      </c>
      <c r="G623" s="4">
        <f>E623/E622-1</f>
        <v/>
      </c>
    </row>
    <row r="624">
      <c r="A624" s="2" t="n">
        <v>45363</v>
      </c>
      <c r="B624" s="3" t="n">
        <v>22335.7</v>
      </c>
      <c r="C624" s="3" t="n">
        <v>22335.7</v>
      </c>
      <c r="D624" s="3" t="n">
        <v>1427.95</v>
      </c>
      <c r="E624" s="3" t="n">
        <v>1400.99</v>
      </c>
      <c r="F624" s="4">
        <f>C624/C623-1</f>
        <v/>
      </c>
      <c r="G624" s="4">
        <f>E624/E623-1</f>
        <v/>
      </c>
    </row>
    <row r="625">
      <c r="A625" s="2" t="n">
        <v>45364</v>
      </c>
      <c r="B625" s="3" t="n">
        <v>21997.7</v>
      </c>
      <c r="C625" s="3" t="n">
        <v>21997.7</v>
      </c>
      <c r="D625" s="3" t="n">
        <v>1411.6</v>
      </c>
      <c r="E625" s="3" t="n">
        <v>1384.94</v>
      </c>
      <c r="F625" s="4">
        <f>C625/C624-1</f>
        <v/>
      </c>
      <c r="G625" s="4">
        <f>E625/E624-1</f>
        <v/>
      </c>
    </row>
    <row r="626">
      <c r="A626" s="2" t="n">
        <v>45365</v>
      </c>
      <c r="B626" s="3" t="n">
        <v>22146.65</v>
      </c>
      <c r="C626" s="3" t="n">
        <v>22146.65</v>
      </c>
      <c r="D626" s="3" t="n">
        <v>1430.5</v>
      </c>
      <c r="E626" s="3" t="n">
        <v>1403.49</v>
      </c>
      <c r="F626" s="4">
        <f>C626/C625-1</f>
        <v/>
      </c>
      <c r="G626" s="4">
        <f>E626/E625-1</f>
        <v/>
      </c>
    </row>
    <row r="627">
      <c r="A627" s="2" t="n">
        <v>45366</v>
      </c>
      <c r="B627" s="3" t="n">
        <v>22023.35</v>
      </c>
      <c r="C627" s="3" t="n">
        <v>22023.35</v>
      </c>
      <c r="D627" s="3" t="n">
        <v>1434</v>
      </c>
      <c r="E627" s="3" t="n">
        <v>1406.92</v>
      </c>
      <c r="F627" s="4">
        <f>C627/C626-1</f>
        <v/>
      </c>
      <c r="G627" s="4">
        <f>E627/E626-1</f>
        <v/>
      </c>
    </row>
    <row r="628">
      <c r="A628" s="2" t="n">
        <v>45369</v>
      </c>
      <c r="B628" s="3" t="n">
        <v>22055.7</v>
      </c>
      <c r="C628" s="3" t="n">
        <v>22055.7</v>
      </c>
      <c r="D628" s="3" t="n">
        <v>1462.62</v>
      </c>
      <c r="E628" s="3" t="n">
        <v>1435.01</v>
      </c>
      <c r="F628" s="4">
        <f>C628/C627-1</f>
        <v/>
      </c>
      <c r="G628" s="4">
        <f>E628/E627-1</f>
        <v/>
      </c>
    </row>
    <row r="629">
      <c r="A629" s="2" t="n">
        <v>45370</v>
      </c>
      <c r="B629" s="3" t="n">
        <v>21817.45</v>
      </c>
      <c r="C629" s="3" t="n">
        <v>21817.45</v>
      </c>
      <c r="D629" s="3" t="n">
        <v>1445.7</v>
      </c>
      <c r="E629" s="3" t="n">
        <v>1418.4</v>
      </c>
      <c r="F629" s="4">
        <f>C629/C628-1</f>
        <v/>
      </c>
      <c r="G629" s="4">
        <f>E629/E628-1</f>
        <v/>
      </c>
    </row>
    <row r="630">
      <c r="A630" s="2" t="n">
        <v>45371</v>
      </c>
      <c r="B630" s="3" t="n">
        <v>21839.1</v>
      </c>
      <c r="C630" s="3" t="n">
        <v>21839.1</v>
      </c>
      <c r="D630" s="3" t="n">
        <v>1435.9</v>
      </c>
      <c r="E630" s="3" t="n">
        <v>1408.79</v>
      </c>
      <c r="F630" s="4">
        <f>C630/C629-1</f>
        <v/>
      </c>
      <c r="G630" s="4">
        <f>E630/E629-1</f>
        <v/>
      </c>
    </row>
    <row r="631">
      <c r="A631" s="2" t="n">
        <v>45372</v>
      </c>
      <c r="B631" s="3" t="n">
        <v>22011.95</v>
      </c>
      <c r="C631" s="3" t="n">
        <v>22011.95</v>
      </c>
      <c r="D631" s="3" t="n">
        <v>1450.7</v>
      </c>
      <c r="E631" s="3" t="n">
        <v>1423.31</v>
      </c>
      <c r="F631" s="4">
        <f>C631/C630-1</f>
        <v/>
      </c>
      <c r="G631" s="4">
        <f>E631/E630-1</f>
        <v/>
      </c>
    </row>
    <row r="632">
      <c r="A632" s="2" t="n">
        <v>45373</v>
      </c>
      <c r="B632" s="3" t="n">
        <v>22096.75</v>
      </c>
      <c r="C632" s="3" t="n">
        <v>22096.75</v>
      </c>
      <c r="D632" s="3" t="n">
        <v>1480.05</v>
      </c>
      <c r="E632" s="3" t="n">
        <v>1452.1</v>
      </c>
      <c r="F632" s="4">
        <f>C632/C631-1</f>
        <v/>
      </c>
      <c r="G632" s="4">
        <f>E632/E631-1</f>
        <v/>
      </c>
    </row>
    <row r="633">
      <c r="A633" s="2" t="n">
        <v>45377</v>
      </c>
      <c r="B633" s="3" t="n">
        <v>22004.7</v>
      </c>
      <c r="C633" s="3" t="n">
        <v>22004.7</v>
      </c>
      <c r="D633" s="3" t="n">
        <v>1500.8</v>
      </c>
      <c r="E633" s="3" t="n">
        <v>1472.46</v>
      </c>
      <c r="F633" s="4">
        <f>C633/C632-1</f>
        <v/>
      </c>
      <c r="G633" s="4">
        <f>E633/E632-1</f>
        <v/>
      </c>
    </row>
    <row r="634">
      <c r="A634" s="2" t="n">
        <v>45378</v>
      </c>
      <c r="B634" s="3" t="n">
        <v>22123.65</v>
      </c>
      <c r="C634" s="3" t="n">
        <v>22123.65</v>
      </c>
      <c r="D634" s="3" t="n">
        <v>1496.15</v>
      </c>
      <c r="E634" s="3" t="n">
        <v>1467.9</v>
      </c>
      <c r="F634" s="4">
        <f>C634/C633-1</f>
        <v/>
      </c>
      <c r="G634" s="4">
        <f>E634/E633-1</f>
        <v/>
      </c>
    </row>
    <row r="635">
      <c r="A635" s="2" t="n">
        <v>45379</v>
      </c>
      <c r="B635" s="3" t="n">
        <v>22326.9</v>
      </c>
      <c r="C635" s="3" t="n">
        <v>22326.9</v>
      </c>
      <c r="D635" s="3" t="n">
        <v>1507.35</v>
      </c>
      <c r="E635" s="3" t="n">
        <v>1478.89</v>
      </c>
      <c r="F635" s="4">
        <f>C635/C634-1</f>
        <v/>
      </c>
      <c r="G635" s="4">
        <f>E635/E634-1</f>
        <v/>
      </c>
    </row>
    <row r="636">
      <c r="A636" s="2" t="n">
        <v>45383</v>
      </c>
      <c r="B636" s="3" t="n">
        <v>22462</v>
      </c>
      <c r="C636" s="3" t="n">
        <v>22462</v>
      </c>
      <c r="D636" s="3" t="n">
        <v>1525.78</v>
      </c>
      <c r="E636" s="3" t="n">
        <v>1496.96</v>
      </c>
      <c r="F636" s="4">
        <f>C636/C635-1</f>
        <v/>
      </c>
      <c r="G636" s="4">
        <f>E636/E635-1</f>
        <v/>
      </c>
    </row>
    <row r="637">
      <c r="A637" s="2" t="n">
        <v>45384</v>
      </c>
      <c r="B637" s="3" t="n">
        <v>22453.3</v>
      </c>
      <c r="C637" s="3" t="n">
        <v>22453.3</v>
      </c>
      <c r="D637" s="3" t="n">
        <v>1499.88</v>
      </c>
      <c r="E637" s="3" t="n">
        <v>1471.55</v>
      </c>
      <c r="F637" s="4">
        <f>C637/C636-1</f>
        <v/>
      </c>
      <c r="G637" s="4">
        <f>E637/E636-1</f>
        <v/>
      </c>
    </row>
    <row r="638">
      <c r="A638" s="2" t="n">
        <v>45385</v>
      </c>
      <c r="B638" s="3" t="n">
        <v>22434.65</v>
      </c>
      <c r="C638" s="3" t="n">
        <v>22434.65</v>
      </c>
      <c r="D638" s="3" t="n">
        <v>1501.45</v>
      </c>
      <c r="E638" s="3" t="n">
        <v>1473.1</v>
      </c>
      <c r="F638" s="4">
        <f>C638/C637-1</f>
        <v/>
      </c>
      <c r="G638" s="4">
        <f>E638/E637-1</f>
        <v/>
      </c>
    </row>
    <row r="639">
      <c r="A639" s="2" t="n">
        <v>45386</v>
      </c>
      <c r="B639" s="3" t="n">
        <v>22514.65</v>
      </c>
      <c r="C639" s="3" t="n">
        <v>22514.65</v>
      </c>
      <c r="D639" s="3" t="n">
        <v>1498.9</v>
      </c>
      <c r="E639" s="3" t="n">
        <v>1470.6</v>
      </c>
      <c r="F639" s="4">
        <f>C639/C638-1</f>
        <v/>
      </c>
      <c r="G639" s="4">
        <f>E639/E638-1</f>
        <v/>
      </c>
    </row>
    <row r="640">
      <c r="A640" s="2" t="n">
        <v>45387</v>
      </c>
      <c r="B640" s="3" t="n">
        <v>22513.7</v>
      </c>
      <c r="C640" s="3" t="n">
        <v>22513.7</v>
      </c>
      <c r="D640" s="3" t="n">
        <v>1500.4</v>
      </c>
      <c r="E640" s="3" t="n">
        <v>1472.07</v>
      </c>
      <c r="F640" s="4">
        <f>C640/C639-1</f>
        <v/>
      </c>
      <c r="G640" s="4">
        <f>E640/E639-1</f>
        <v/>
      </c>
    </row>
    <row r="641">
      <c r="A641" s="2" t="n">
        <v>45390</v>
      </c>
      <c r="B641" s="3" t="n">
        <v>22666.3</v>
      </c>
      <c r="C641" s="3" t="n">
        <v>22666.3</v>
      </c>
      <c r="D641" s="3" t="n">
        <v>1522.1</v>
      </c>
      <c r="E641" s="3" t="n">
        <v>1493.36</v>
      </c>
      <c r="F641" s="4">
        <f>C641/C640-1</f>
        <v/>
      </c>
      <c r="G641" s="4">
        <f>E641/E640-1</f>
        <v/>
      </c>
    </row>
    <row r="642">
      <c r="A642" s="2" t="n">
        <v>45391</v>
      </c>
      <c r="B642" s="3" t="n">
        <v>22642.75</v>
      </c>
      <c r="C642" s="3" t="n">
        <v>22642.75</v>
      </c>
      <c r="D642" s="3" t="n">
        <v>1507.28</v>
      </c>
      <c r="E642" s="3" t="n">
        <v>1478.81</v>
      </c>
      <c r="F642" s="4">
        <f>C642/C641-1</f>
        <v/>
      </c>
      <c r="G642" s="4">
        <f>E642/E641-1</f>
        <v/>
      </c>
    </row>
    <row r="643">
      <c r="A643" s="2" t="n">
        <v>45392</v>
      </c>
      <c r="B643" s="3" t="n">
        <v>22753.8</v>
      </c>
      <c r="C643" s="3" t="n">
        <v>22753.8</v>
      </c>
      <c r="D643" s="3" t="n">
        <v>1500.05</v>
      </c>
      <c r="E643" s="3" t="n">
        <v>1471.72</v>
      </c>
      <c r="F643" s="4">
        <f>C643/C642-1</f>
        <v/>
      </c>
      <c r="G643" s="4">
        <f>E643/E642-1</f>
        <v/>
      </c>
    </row>
    <row r="644">
      <c r="A644" s="2" t="n">
        <v>45394</v>
      </c>
      <c r="B644" s="3" t="n">
        <v>22519.4</v>
      </c>
      <c r="C644" s="3" t="n">
        <v>22519.4</v>
      </c>
      <c r="D644" s="3" t="n">
        <v>1492.93</v>
      </c>
      <c r="E644" s="3" t="n">
        <v>1464.73</v>
      </c>
      <c r="F644" s="4">
        <f>C644/C643-1</f>
        <v/>
      </c>
      <c r="G644" s="4">
        <f>E644/E643-1</f>
        <v/>
      </c>
    </row>
    <row r="645">
      <c r="A645" s="2" t="n">
        <v>45397</v>
      </c>
      <c r="B645" s="3" t="n">
        <v>22272.5</v>
      </c>
      <c r="C645" s="3" t="n">
        <v>22272.5</v>
      </c>
      <c r="D645" s="3" t="n">
        <v>1441.65</v>
      </c>
      <c r="E645" s="3" t="n">
        <v>1414.43</v>
      </c>
      <c r="F645" s="4">
        <f>C645/C644-1</f>
        <v/>
      </c>
      <c r="G645" s="4">
        <f>E645/E644-1</f>
        <v/>
      </c>
    </row>
    <row r="646">
      <c r="A646" s="2" t="n">
        <v>45398</v>
      </c>
      <c r="B646" s="3" t="n">
        <v>22147.9</v>
      </c>
      <c r="C646" s="3" t="n">
        <v>22147.9</v>
      </c>
      <c r="D646" s="3" t="n">
        <v>1439.55</v>
      </c>
      <c r="E646" s="3" t="n">
        <v>1412.37</v>
      </c>
      <c r="F646" s="4">
        <f>C646/C645-1</f>
        <v/>
      </c>
      <c r="G646" s="4">
        <f>E646/E645-1</f>
        <v/>
      </c>
    </row>
    <row r="647">
      <c r="A647" s="2" t="n">
        <v>45400</v>
      </c>
      <c r="B647" s="3" t="n">
        <v>21995.85</v>
      </c>
      <c r="C647" s="3" t="n">
        <v>21995.85</v>
      </c>
      <c r="D647" s="3" t="n">
        <v>1435.9</v>
      </c>
      <c r="E647" s="3" t="n">
        <v>1408.79</v>
      </c>
      <c r="F647" s="4">
        <f>C647/C646-1</f>
        <v/>
      </c>
      <c r="G647" s="4">
        <f>E647/E646-1</f>
        <v/>
      </c>
    </row>
    <row r="648">
      <c r="A648" s="2" t="n">
        <v>45401</v>
      </c>
      <c r="B648" s="3" t="n">
        <v>22147</v>
      </c>
      <c r="C648" s="3" t="n">
        <v>22147</v>
      </c>
      <c r="D648" s="3" t="n">
        <v>1415.35</v>
      </c>
      <c r="E648" s="3" t="n">
        <v>1388.62</v>
      </c>
      <c r="F648" s="4">
        <f>C648/C647-1</f>
        <v/>
      </c>
      <c r="G648" s="4">
        <f>E648/E647-1</f>
        <v/>
      </c>
    </row>
    <row r="649">
      <c r="A649" s="2" t="n">
        <v>45404</v>
      </c>
      <c r="B649" s="3" t="n">
        <v>22336.4</v>
      </c>
      <c r="C649" s="3" t="n">
        <v>22336.4</v>
      </c>
      <c r="D649" s="3" t="n">
        <v>1449.03</v>
      </c>
      <c r="E649" s="3" t="n">
        <v>1421.66</v>
      </c>
      <c r="F649" s="4">
        <f>C649/C648-1</f>
        <v/>
      </c>
      <c r="G649" s="4">
        <f>E649/E648-1</f>
        <v/>
      </c>
    </row>
    <row r="650">
      <c r="A650" s="2" t="n">
        <v>45405</v>
      </c>
      <c r="B650" s="3" t="n">
        <v>22368</v>
      </c>
      <c r="C650" s="3" t="n">
        <v>22368</v>
      </c>
      <c r="D650" s="3" t="n">
        <v>1457.2</v>
      </c>
      <c r="E650" s="3" t="n">
        <v>1429.68</v>
      </c>
      <c r="F650" s="4">
        <f>C650/C649-1</f>
        <v/>
      </c>
      <c r="G650" s="4">
        <f>E650/E649-1</f>
        <v/>
      </c>
    </row>
    <row r="651">
      <c r="A651" s="2" t="n">
        <v>45406</v>
      </c>
      <c r="B651" s="3" t="n">
        <v>22402.4</v>
      </c>
      <c r="C651" s="3" t="n">
        <v>22402.4</v>
      </c>
      <c r="D651" s="3" t="n">
        <v>1475.2</v>
      </c>
      <c r="E651" s="3" t="n">
        <v>1447.34</v>
      </c>
      <c r="F651" s="4">
        <f>C651/C650-1</f>
        <v/>
      </c>
      <c r="G651" s="4">
        <f>E651/E650-1</f>
        <v/>
      </c>
    </row>
    <row r="652">
      <c r="A652" s="2" t="n">
        <v>45407</v>
      </c>
      <c r="B652" s="3" t="n">
        <v>22570.35</v>
      </c>
      <c r="C652" s="3" t="n">
        <v>22570.35</v>
      </c>
      <c r="D652" s="3" t="n">
        <v>1459.72</v>
      </c>
      <c r="E652" s="3" t="n">
        <v>1432.16</v>
      </c>
      <c r="F652" s="4">
        <f>C652/C651-1</f>
        <v/>
      </c>
      <c r="G652" s="4">
        <f>E652/E651-1</f>
        <v/>
      </c>
    </row>
    <row r="653">
      <c r="A653" s="2" t="n">
        <v>45408</v>
      </c>
      <c r="B653" s="3" t="n">
        <v>22419.95</v>
      </c>
      <c r="C653" s="3" t="n">
        <v>22419.95</v>
      </c>
      <c r="D653" s="3" t="n">
        <v>1491.25</v>
      </c>
      <c r="E653" s="3" t="n">
        <v>1463.09</v>
      </c>
      <c r="F653" s="4">
        <f>C653/C652-1</f>
        <v/>
      </c>
      <c r="G653" s="4">
        <f>E653/E652-1</f>
        <v/>
      </c>
    </row>
    <row r="654">
      <c r="A654" s="2" t="n">
        <v>45411</v>
      </c>
      <c r="B654" s="3" t="n">
        <v>22643.4</v>
      </c>
      <c r="C654" s="3" t="n">
        <v>22643.4</v>
      </c>
      <c r="D654" s="3" t="n">
        <v>1510.55</v>
      </c>
      <c r="E654" s="3" t="n">
        <v>1482.03</v>
      </c>
      <c r="F654" s="4">
        <f>C654/C653-1</f>
        <v/>
      </c>
      <c r="G654" s="4">
        <f>E654/E653-1</f>
        <v/>
      </c>
    </row>
    <row r="655">
      <c r="A655" s="2" t="n">
        <v>45412</v>
      </c>
      <c r="B655" s="3" t="n">
        <v>22604.85</v>
      </c>
      <c r="C655" s="3" t="n">
        <v>22604.85</v>
      </c>
      <c r="D655" s="3" t="n">
        <v>1524.5</v>
      </c>
      <c r="E655" s="3" t="n">
        <v>1495.71</v>
      </c>
      <c r="F655" s="4">
        <f>C655/C654-1</f>
        <v/>
      </c>
      <c r="G655" s="4">
        <f>E655/E654-1</f>
        <v/>
      </c>
    </row>
    <row r="656">
      <c r="A656" s="2" t="n">
        <v>45414</v>
      </c>
      <c r="B656" s="3" t="n">
        <v>22648.2</v>
      </c>
      <c r="C656" s="3" t="n">
        <v>22648.2</v>
      </c>
      <c r="D656" s="3" t="n">
        <v>1494.03</v>
      </c>
      <c r="E656" s="3" t="n">
        <v>1465.81</v>
      </c>
      <c r="F656" s="4">
        <f>C656/C655-1</f>
        <v/>
      </c>
      <c r="G656" s="4">
        <f>E656/E655-1</f>
        <v/>
      </c>
    </row>
    <row r="657">
      <c r="A657" s="2" t="n">
        <v>45415</v>
      </c>
      <c r="B657" s="3" t="n">
        <v>22475.85</v>
      </c>
      <c r="C657" s="3" t="n">
        <v>22475.85</v>
      </c>
      <c r="D657" s="3" t="n">
        <v>1476.4</v>
      </c>
      <c r="E657" s="3" t="n">
        <v>1448.52</v>
      </c>
      <c r="F657" s="4">
        <f>C657/C656-1</f>
        <v/>
      </c>
      <c r="G657" s="4">
        <f>E657/E656-1</f>
        <v/>
      </c>
    </row>
    <row r="658">
      <c r="A658" s="2" t="n">
        <v>45418</v>
      </c>
      <c r="B658" s="3" t="n">
        <v>22442.7</v>
      </c>
      <c r="C658" s="3" t="n">
        <v>22442.7</v>
      </c>
      <c r="D658" s="3" t="n">
        <v>1476.65</v>
      </c>
      <c r="E658" s="3" t="n">
        <v>1448.77</v>
      </c>
      <c r="F658" s="4">
        <f>C658/C657-1</f>
        <v/>
      </c>
      <c r="G658" s="4">
        <f>E658/E657-1</f>
        <v/>
      </c>
    </row>
    <row r="659">
      <c r="A659" s="2" t="n">
        <v>45419</v>
      </c>
      <c r="B659" s="3" t="n">
        <v>22302.5</v>
      </c>
      <c r="C659" s="3" t="n">
        <v>22302.5</v>
      </c>
      <c r="D659" s="3" t="n">
        <v>1475.12</v>
      </c>
      <c r="E659" s="3" t="n">
        <v>1447.27</v>
      </c>
      <c r="F659" s="4">
        <f>C659/C658-1</f>
        <v/>
      </c>
      <c r="G659" s="4">
        <f>E659/E658-1</f>
        <v/>
      </c>
    </row>
    <row r="660">
      <c r="A660" s="2" t="n">
        <v>45420</v>
      </c>
      <c r="B660" s="3" t="n">
        <v>22302.5</v>
      </c>
      <c r="C660" s="3" t="n">
        <v>22302.5</v>
      </c>
      <c r="D660" s="3" t="n">
        <v>1407.53</v>
      </c>
      <c r="E660" s="3" t="n">
        <v>1380.95</v>
      </c>
      <c r="F660" s="4">
        <f>C660/C659-1</f>
        <v/>
      </c>
      <c r="G660" s="4">
        <f>E660/E659-1</f>
        <v/>
      </c>
    </row>
    <row r="661">
      <c r="A661" s="2" t="n">
        <v>45421</v>
      </c>
      <c r="B661" s="3" t="n">
        <v>21957.5</v>
      </c>
      <c r="C661" s="3" t="n">
        <v>21957.5</v>
      </c>
      <c r="D661" s="3" t="n">
        <v>1418.68</v>
      </c>
      <c r="E661" s="3" t="n">
        <v>1391.89</v>
      </c>
      <c r="F661" s="4">
        <f>C661/C660-1</f>
        <v/>
      </c>
      <c r="G661" s="4">
        <f>E661/E660-1</f>
        <v/>
      </c>
    </row>
    <row r="662">
      <c r="A662" s="2" t="n">
        <v>45422</v>
      </c>
      <c r="B662" s="3" t="n">
        <v>22055.2</v>
      </c>
      <c r="C662" s="3" t="n">
        <v>22055.2</v>
      </c>
      <c r="D662" s="3" t="n">
        <v>1459.97</v>
      </c>
      <c r="E662" s="3" t="n">
        <v>1432.41</v>
      </c>
      <c r="F662" s="4">
        <f>C662/C661-1</f>
        <v/>
      </c>
      <c r="G662" s="4">
        <f>E662/E661-1</f>
        <v/>
      </c>
    </row>
    <row r="663">
      <c r="A663" s="2" t="n">
        <v>45425</v>
      </c>
      <c r="B663" s="3" t="n">
        <v>22104.05</v>
      </c>
      <c r="C663" s="3" t="n">
        <v>22104.05</v>
      </c>
      <c r="D663" s="3" t="n">
        <v>1482.93</v>
      </c>
      <c r="E663" s="3" t="n">
        <v>1454.92</v>
      </c>
      <c r="F663" s="4">
        <f>C663/C662-1</f>
        <v/>
      </c>
      <c r="G663" s="4">
        <f>E663/E662-1</f>
        <v/>
      </c>
    </row>
    <row r="664">
      <c r="A664" s="2" t="n">
        <v>45426</v>
      </c>
      <c r="B664" s="3" t="n">
        <v>22217.85</v>
      </c>
      <c r="C664" s="3" t="n">
        <v>22217.85</v>
      </c>
      <c r="D664" s="3" t="n">
        <v>1491.88</v>
      </c>
      <c r="E664" s="3" t="n">
        <v>1463.7</v>
      </c>
      <c r="F664" s="4">
        <f>C664/C663-1</f>
        <v/>
      </c>
      <c r="G664" s="4">
        <f>E664/E663-1</f>
        <v/>
      </c>
    </row>
    <row r="665">
      <c r="A665" s="2" t="n">
        <v>45427</v>
      </c>
      <c r="B665" s="3" t="n">
        <v>22200.55</v>
      </c>
      <c r="C665" s="3" t="n">
        <v>22200.55</v>
      </c>
      <c r="D665" s="3" t="n">
        <v>1493.72</v>
      </c>
      <c r="E665" s="3" t="n">
        <v>1465.52</v>
      </c>
      <c r="F665" s="4">
        <f>C665/C664-1</f>
        <v/>
      </c>
      <c r="G665" s="4">
        <f>E665/E664-1</f>
        <v/>
      </c>
    </row>
    <row r="666">
      <c r="A666" s="2" t="n">
        <v>45428</v>
      </c>
      <c r="B666" s="3" t="n">
        <v>22403.85</v>
      </c>
      <c r="C666" s="3" t="n">
        <v>22403.85</v>
      </c>
      <c r="D666" s="3" t="n">
        <v>1509.05</v>
      </c>
      <c r="E666" s="3" t="n">
        <v>1480.55</v>
      </c>
      <c r="F666" s="4">
        <f>C666/C665-1</f>
        <v/>
      </c>
      <c r="G666" s="4">
        <f>E666/E665-1</f>
        <v/>
      </c>
    </row>
    <row r="667">
      <c r="A667" s="2" t="n">
        <v>45429</v>
      </c>
      <c r="B667" s="3" t="n">
        <v>22466.1</v>
      </c>
      <c r="C667" s="3" t="n">
        <v>22466.1</v>
      </c>
      <c r="D667" s="3" t="n">
        <v>1493.47</v>
      </c>
      <c r="E667" s="3" t="n">
        <v>1465.27</v>
      </c>
      <c r="F667" s="4">
        <f>C667/C666-1</f>
        <v/>
      </c>
      <c r="G667" s="4">
        <f>E667/E666-1</f>
        <v/>
      </c>
    </row>
    <row r="668">
      <c r="A668" s="2" t="n">
        <v>45433</v>
      </c>
      <c r="B668" s="3" t="n">
        <v>22529.05</v>
      </c>
      <c r="C668" s="3" t="n">
        <v>22529.05</v>
      </c>
      <c r="D668" s="3" t="n">
        <v>1507.62</v>
      </c>
      <c r="E668" s="3" t="n">
        <v>1479.16</v>
      </c>
      <c r="F668" s="4">
        <f>C668/C667-1</f>
        <v/>
      </c>
      <c r="G668" s="4">
        <f>E668/E667-1</f>
        <v/>
      </c>
    </row>
    <row r="669">
      <c r="A669" s="2" t="n">
        <v>45434</v>
      </c>
      <c r="B669" s="3" t="n">
        <v>22597.8</v>
      </c>
      <c r="C669" s="3" t="n">
        <v>22597.8</v>
      </c>
      <c r="D669" s="3" t="n">
        <v>1505.47</v>
      </c>
      <c r="E669" s="3" t="n">
        <v>1477.05</v>
      </c>
      <c r="F669" s="4">
        <f>C669/C668-1</f>
        <v/>
      </c>
      <c r="G669" s="4">
        <f>E669/E668-1</f>
        <v/>
      </c>
    </row>
    <row r="670">
      <c r="A670" s="2" t="n">
        <v>45435</v>
      </c>
      <c r="B670" s="3" t="n">
        <v>22967.65</v>
      </c>
      <c r="C670" s="3" t="n">
        <v>22967.65</v>
      </c>
      <c r="D670" s="3" t="n">
        <v>1494.6</v>
      </c>
      <c r="E670" s="3" t="n">
        <v>1466.38</v>
      </c>
      <c r="F670" s="4">
        <f>C670/C669-1</f>
        <v/>
      </c>
      <c r="G670" s="4">
        <f>E670/E669-1</f>
        <v/>
      </c>
    </row>
    <row r="671">
      <c r="A671" s="2" t="n">
        <v>45436</v>
      </c>
      <c r="B671" s="3" t="n">
        <v>22957.1</v>
      </c>
      <c r="C671" s="3" t="n">
        <v>22957.1</v>
      </c>
      <c r="D671" s="3" t="n">
        <v>1486.03</v>
      </c>
      <c r="E671" s="3" t="n">
        <v>1457.96</v>
      </c>
      <c r="F671" s="4">
        <f>C671/C670-1</f>
        <v/>
      </c>
      <c r="G671" s="4">
        <f>E671/E670-1</f>
        <v/>
      </c>
    </row>
    <row r="672">
      <c r="A672" s="2" t="n">
        <v>45439</v>
      </c>
      <c r="B672" s="3" t="n">
        <v>22932.45</v>
      </c>
      <c r="C672" s="3" t="n">
        <v>22932.45</v>
      </c>
      <c r="D672" s="3" t="n">
        <v>1509.95</v>
      </c>
      <c r="E672" s="3" t="n">
        <v>1481.44</v>
      </c>
      <c r="F672" s="4">
        <f>C672/C671-1</f>
        <v/>
      </c>
      <c r="G672" s="4">
        <f>E672/E671-1</f>
        <v/>
      </c>
    </row>
    <row r="673">
      <c r="A673" s="2" t="n">
        <v>45440</v>
      </c>
      <c r="B673" s="3" t="n">
        <v>22888.15</v>
      </c>
      <c r="C673" s="3" t="n">
        <v>22888.15</v>
      </c>
      <c r="D673" s="3" t="n">
        <v>1523.93</v>
      </c>
      <c r="E673" s="3" t="n">
        <v>1495.15</v>
      </c>
      <c r="F673" s="4">
        <f>C673/C672-1</f>
        <v/>
      </c>
      <c r="G673" s="4">
        <f>E673/E672-1</f>
        <v/>
      </c>
    </row>
    <row r="674">
      <c r="A674" s="2" t="n">
        <v>45441</v>
      </c>
      <c r="B674" s="3" t="n">
        <v>22704.7</v>
      </c>
      <c r="C674" s="3" t="n">
        <v>22704.7</v>
      </c>
      <c r="D674" s="3" t="n">
        <v>1518.5</v>
      </c>
      <c r="E674" s="3" t="n">
        <v>1489.83</v>
      </c>
      <c r="F674" s="4">
        <f>C674/C673-1</f>
        <v/>
      </c>
      <c r="G674" s="4">
        <f>E674/E673-1</f>
        <v/>
      </c>
    </row>
    <row r="675">
      <c r="A675" s="2" t="n">
        <v>45442</v>
      </c>
      <c r="B675" s="3" t="n">
        <v>22488.65</v>
      </c>
      <c r="C675" s="3" t="n">
        <v>22488.65</v>
      </c>
      <c r="D675" s="3" t="n">
        <v>1499.4</v>
      </c>
      <c r="E675" s="3" t="n">
        <v>1471.09</v>
      </c>
      <c r="F675" s="4">
        <f>C675/C674-1</f>
        <v/>
      </c>
      <c r="G675" s="4">
        <f>E675/E674-1</f>
        <v/>
      </c>
    </row>
    <row r="676">
      <c r="A676" s="2" t="n">
        <v>45443</v>
      </c>
      <c r="B676" s="3" t="n">
        <v>22530.7</v>
      </c>
      <c r="C676" s="3" t="n">
        <v>22530.7</v>
      </c>
      <c r="D676" s="3" t="n">
        <v>1484.75</v>
      </c>
      <c r="E676" s="3" t="n">
        <v>1456.71</v>
      </c>
      <c r="F676" s="4">
        <f>C676/C675-1</f>
        <v/>
      </c>
      <c r="G676" s="4">
        <f>E676/E675-1</f>
        <v/>
      </c>
    </row>
    <row r="677">
      <c r="A677" s="2" t="n">
        <v>45446</v>
      </c>
      <c r="B677" s="3" t="n">
        <v>23263.9</v>
      </c>
      <c r="C677" s="3" t="n">
        <v>23263.9</v>
      </c>
      <c r="D677" s="3" t="n">
        <v>1492.3</v>
      </c>
      <c r="E677" s="3" t="n">
        <v>1464.12</v>
      </c>
      <c r="F677" s="4">
        <f>C677/C676-1</f>
        <v/>
      </c>
      <c r="G677" s="4">
        <f>E677/E676-1</f>
        <v/>
      </c>
    </row>
    <row r="678">
      <c r="A678" s="2" t="n">
        <v>45447</v>
      </c>
      <c r="B678" s="3" t="n">
        <v>21884.5</v>
      </c>
      <c r="C678" s="3" t="n">
        <v>21884.5</v>
      </c>
      <c r="D678" s="3" t="n">
        <v>1531.1</v>
      </c>
      <c r="E678" s="3" t="n">
        <v>1502.19</v>
      </c>
      <c r="F678" s="4">
        <f>C678/C677-1</f>
        <v/>
      </c>
      <c r="G678" s="4">
        <f>E678/E677-1</f>
        <v/>
      </c>
    </row>
    <row r="679">
      <c r="A679" s="2" t="n">
        <v>45448</v>
      </c>
      <c r="B679" s="3" t="n">
        <v>22620.35</v>
      </c>
      <c r="C679" s="3" t="n">
        <v>22620.35</v>
      </c>
      <c r="D679" s="3" t="n">
        <v>1583.1</v>
      </c>
      <c r="E679" s="3" t="n">
        <v>1553.21</v>
      </c>
      <c r="F679" s="4">
        <f>C679/C678-1</f>
        <v/>
      </c>
      <c r="G679" s="4">
        <f>E679/E678-1</f>
        <v/>
      </c>
    </row>
    <row r="680">
      <c r="A680" s="2" t="n">
        <v>45449</v>
      </c>
      <c r="B680" s="3" t="n">
        <v>22821.4</v>
      </c>
      <c r="C680" s="3" t="n">
        <v>22821.4</v>
      </c>
      <c r="D680" s="3" t="n">
        <v>1544.6</v>
      </c>
      <c r="E680" s="3" t="n">
        <v>1515.43</v>
      </c>
      <c r="F680" s="4">
        <f>C680/C679-1</f>
        <v/>
      </c>
      <c r="G680" s="4">
        <f>E680/E679-1</f>
        <v/>
      </c>
    </row>
    <row r="681">
      <c r="A681" s="2" t="n">
        <v>45450</v>
      </c>
      <c r="B681" s="3" t="n">
        <v>23290.15</v>
      </c>
      <c r="C681" s="3" t="n">
        <v>23290.15</v>
      </c>
      <c r="D681" s="3" t="n">
        <v>1561.85</v>
      </c>
      <c r="E681" s="3" t="n">
        <v>1532.36</v>
      </c>
      <c r="F681" s="4">
        <f>C681/C680-1</f>
        <v/>
      </c>
      <c r="G681" s="4">
        <f>E681/E680-1</f>
        <v/>
      </c>
    </row>
    <row r="682">
      <c r="A682" s="2" t="n">
        <v>45453</v>
      </c>
      <c r="B682" s="3" t="n">
        <v>23259.2</v>
      </c>
      <c r="C682" s="3" t="n">
        <v>23259.2</v>
      </c>
      <c r="D682" s="3" t="n">
        <v>1587.03</v>
      </c>
      <c r="E682" s="3" t="n">
        <v>1557.06</v>
      </c>
      <c r="F682" s="4">
        <f>C682/C681-1</f>
        <v/>
      </c>
      <c r="G682" s="4">
        <f>E682/E681-1</f>
        <v/>
      </c>
    </row>
    <row r="683">
      <c r="A683" s="2" t="n">
        <v>45454</v>
      </c>
      <c r="B683" s="3" t="n">
        <v>23264.85</v>
      </c>
      <c r="C683" s="3" t="n">
        <v>23264.85</v>
      </c>
      <c r="D683" s="3" t="n">
        <v>1587.7</v>
      </c>
      <c r="E683" s="3" t="n">
        <v>1557.72</v>
      </c>
      <c r="F683" s="4">
        <f>C683/C682-1</f>
        <v/>
      </c>
      <c r="G683" s="4">
        <f>E683/E682-1</f>
        <v/>
      </c>
    </row>
    <row r="684">
      <c r="A684" s="2" t="n">
        <v>45455</v>
      </c>
      <c r="B684" s="3" t="n">
        <v>23322.95</v>
      </c>
      <c r="C684" s="3" t="n">
        <v>23322.95</v>
      </c>
      <c r="D684" s="3" t="n">
        <v>1539.25</v>
      </c>
      <c r="E684" s="3" t="n">
        <v>1510.18</v>
      </c>
      <c r="F684" s="4">
        <f>C684/C683-1</f>
        <v/>
      </c>
      <c r="G684" s="4">
        <f>E684/E683-1</f>
        <v/>
      </c>
    </row>
    <row r="685">
      <c r="A685" s="2" t="n">
        <v>45456</v>
      </c>
      <c r="B685" s="3" t="n">
        <v>23398.9</v>
      </c>
      <c r="C685" s="3" t="n">
        <v>23398.9</v>
      </c>
      <c r="D685" s="3" t="n">
        <v>1539.3</v>
      </c>
      <c r="E685" s="3" t="n">
        <v>1510.23</v>
      </c>
      <c r="F685" s="4">
        <f>C685/C684-1</f>
        <v/>
      </c>
      <c r="G685" s="4">
        <f>E685/E684-1</f>
        <v/>
      </c>
    </row>
    <row r="686">
      <c r="A686" s="2" t="n">
        <v>45457</v>
      </c>
      <c r="B686" s="3" t="n">
        <v>23465.6</v>
      </c>
      <c r="C686" s="3" t="n">
        <v>23465.6</v>
      </c>
      <c r="D686" s="3" t="n">
        <v>1554.9</v>
      </c>
      <c r="E686" s="3" t="n">
        <v>1525.54</v>
      </c>
      <c r="F686" s="4">
        <f>C686/C685-1</f>
        <v/>
      </c>
      <c r="G686" s="4">
        <f>E686/E685-1</f>
        <v/>
      </c>
    </row>
    <row r="687">
      <c r="A687" s="2" t="n">
        <v>45461</v>
      </c>
      <c r="B687" s="3" t="n">
        <v>23557.9</v>
      </c>
      <c r="C687" s="3" t="n">
        <v>23557.9</v>
      </c>
      <c r="D687" s="3" t="n">
        <v>1561.3</v>
      </c>
      <c r="E687" s="3" t="n">
        <v>1531.82</v>
      </c>
      <c r="F687" s="4">
        <f>C687/C686-1</f>
        <v/>
      </c>
      <c r="G687" s="4">
        <f>E687/E686-1</f>
        <v/>
      </c>
    </row>
    <row r="688">
      <c r="A688" s="2" t="n">
        <v>45462</v>
      </c>
      <c r="B688" s="3" t="n">
        <v>23516</v>
      </c>
      <c r="C688" s="3" t="n">
        <v>23516</v>
      </c>
      <c r="D688" s="3" t="n">
        <v>1558.6</v>
      </c>
      <c r="E688" s="3" t="n">
        <v>1529.17</v>
      </c>
      <c r="F688" s="4">
        <f>C688/C687-1</f>
        <v/>
      </c>
      <c r="G688" s="4">
        <f>E688/E687-1</f>
        <v/>
      </c>
    </row>
    <row r="689">
      <c r="A689" s="2" t="n">
        <v>45463</v>
      </c>
      <c r="B689" s="3" t="n">
        <v>23567</v>
      </c>
      <c r="C689" s="3" t="n">
        <v>23567</v>
      </c>
      <c r="D689" s="3" t="n">
        <v>1566.22</v>
      </c>
      <c r="E689" s="3" t="n">
        <v>1536.65</v>
      </c>
      <c r="F689" s="4">
        <f>C689/C688-1</f>
        <v/>
      </c>
      <c r="G689" s="4">
        <f>E689/E688-1</f>
        <v/>
      </c>
    </row>
    <row r="690">
      <c r="A690" s="2" t="n">
        <v>45464</v>
      </c>
      <c r="B690" s="3" t="n">
        <v>23501.1</v>
      </c>
      <c r="C690" s="3" t="n">
        <v>23501.1</v>
      </c>
      <c r="D690" s="3" t="n">
        <v>1572.22</v>
      </c>
      <c r="E690" s="3" t="n">
        <v>1542.54</v>
      </c>
      <c r="F690" s="4">
        <f>C690/C689-1</f>
        <v/>
      </c>
      <c r="G690" s="4">
        <f>E690/E689-1</f>
        <v/>
      </c>
    </row>
    <row r="691">
      <c r="A691" s="2" t="n">
        <v>45467</v>
      </c>
      <c r="B691" s="3" t="n">
        <v>23537.85</v>
      </c>
      <c r="C691" s="3" t="n">
        <v>23537.85</v>
      </c>
      <c r="D691" s="3" t="n">
        <v>1553.55</v>
      </c>
      <c r="E691" s="3" t="n">
        <v>1524.21</v>
      </c>
      <c r="F691" s="4">
        <f>C691/C690-1</f>
        <v/>
      </c>
      <c r="G691" s="4">
        <f>E691/E690-1</f>
        <v/>
      </c>
    </row>
    <row r="692">
      <c r="A692" s="2" t="n">
        <v>45468</v>
      </c>
      <c r="B692" s="3" t="n">
        <v>23721.3</v>
      </c>
      <c r="C692" s="3" t="n">
        <v>23721.3</v>
      </c>
      <c r="D692" s="3" t="n">
        <v>1569.3</v>
      </c>
      <c r="E692" s="3" t="n">
        <v>1539.67</v>
      </c>
      <c r="F692" s="4">
        <f>C692/C691-1</f>
        <v/>
      </c>
      <c r="G692" s="4">
        <f>E692/E691-1</f>
        <v/>
      </c>
    </row>
    <row r="693">
      <c r="A693" s="2" t="n">
        <v>45469</v>
      </c>
      <c r="B693" s="3" t="n">
        <v>23868.8</v>
      </c>
      <c r="C693" s="3" t="n">
        <v>23868.8</v>
      </c>
      <c r="D693" s="3" t="n">
        <v>1586.97</v>
      </c>
      <c r="E693" s="3" t="n">
        <v>1557.01</v>
      </c>
      <c r="F693" s="4">
        <f>C693/C692-1</f>
        <v/>
      </c>
      <c r="G693" s="4">
        <f>E693/E692-1</f>
        <v/>
      </c>
    </row>
    <row r="694">
      <c r="A694" s="2" t="n">
        <v>45470</v>
      </c>
      <c r="B694" s="3" t="n">
        <v>24044.5</v>
      </c>
      <c r="C694" s="3" t="n">
        <v>24044.5</v>
      </c>
      <c r="D694" s="3" t="n">
        <v>1571.97</v>
      </c>
      <c r="E694" s="3" t="n">
        <v>1542.29</v>
      </c>
      <c r="F694" s="4">
        <f>C694/C693-1</f>
        <v/>
      </c>
      <c r="G694" s="4">
        <f>E694/E693-1</f>
        <v/>
      </c>
    </row>
    <row r="695">
      <c r="A695" s="2" t="n">
        <v>45471</v>
      </c>
      <c r="B695" s="3" t="n">
        <v>24010.6</v>
      </c>
      <c r="C695" s="3" t="n">
        <v>24010.6</v>
      </c>
      <c r="D695" s="3" t="n">
        <v>1579.47</v>
      </c>
      <c r="E695" s="3" t="n">
        <v>1549.65</v>
      </c>
      <c r="F695" s="4">
        <f>C695/C694-1</f>
        <v/>
      </c>
      <c r="G695" s="4">
        <f>E695/E694-1</f>
        <v/>
      </c>
    </row>
    <row r="696">
      <c r="A696" s="2" t="n">
        <v>45474</v>
      </c>
      <c r="B696" s="3" t="n">
        <v>24141.95</v>
      </c>
      <c r="C696" s="3" t="n">
        <v>24141.95</v>
      </c>
      <c r="D696" s="3" t="n">
        <v>1560.7</v>
      </c>
      <c r="E696" s="3" t="n">
        <v>1531.23</v>
      </c>
      <c r="F696" s="4">
        <f>C696/C695-1</f>
        <v/>
      </c>
      <c r="G696" s="4">
        <f>E696/E695-1</f>
        <v/>
      </c>
    </row>
    <row r="697">
      <c r="A697" s="2" t="n">
        <v>45475</v>
      </c>
      <c r="B697" s="3" t="n">
        <v>24123.85</v>
      </c>
      <c r="C697" s="3" t="n">
        <v>24123.85</v>
      </c>
      <c r="D697" s="3" t="n">
        <v>1542.57</v>
      </c>
      <c r="E697" s="3" t="n">
        <v>1513.45</v>
      </c>
      <c r="F697" s="4">
        <f>C697/C696-1</f>
        <v/>
      </c>
      <c r="G697" s="4">
        <f>E697/E696-1</f>
        <v/>
      </c>
    </row>
    <row r="698">
      <c r="A698" s="2" t="n">
        <v>45476</v>
      </c>
      <c r="B698" s="3" t="n">
        <v>24286.5</v>
      </c>
      <c r="C698" s="3" t="n">
        <v>24286.5</v>
      </c>
      <c r="D698" s="3" t="n">
        <v>1555.97</v>
      </c>
      <c r="E698" s="3" t="n">
        <v>1526.59</v>
      </c>
      <c r="F698" s="4">
        <f>C698/C697-1</f>
        <v/>
      </c>
      <c r="G698" s="4">
        <f>E698/E697-1</f>
        <v/>
      </c>
    </row>
    <row r="699">
      <c r="A699" s="2" t="n">
        <v>45477</v>
      </c>
      <c r="B699" s="3" t="n">
        <v>24302.15</v>
      </c>
      <c r="C699" s="3" t="n">
        <v>24302.15</v>
      </c>
      <c r="D699" s="3" t="n">
        <v>1548.7</v>
      </c>
      <c r="E699" s="3" t="n">
        <v>1519.46</v>
      </c>
      <c r="F699" s="4">
        <f>C699/C698-1</f>
        <v/>
      </c>
      <c r="G699" s="4">
        <f>E699/E698-1</f>
        <v/>
      </c>
    </row>
    <row r="700">
      <c r="A700" s="2" t="n">
        <v>45478</v>
      </c>
      <c r="B700" s="3" t="n">
        <v>24323.85</v>
      </c>
      <c r="C700" s="3" t="n">
        <v>24323.85</v>
      </c>
      <c r="D700" s="3" t="n">
        <v>1549.88</v>
      </c>
      <c r="E700" s="3" t="n">
        <v>1520.61</v>
      </c>
      <c r="F700" s="4">
        <f>C700/C699-1</f>
        <v/>
      </c>
      <c r="G700" s="4">
        <f>E700/E699-1</f>
        <v/>
      </c>
    </row>
    <row r="701">
      <c r="A701" s="2" t="n">
        <v>45481</v>
      </c>
      <c r="B701" s="3" t="n">
        <v>24320.55</v>
      </c>
      <c r="C701" s="3" t="n">
        <v>24320.55</v>
      </c>
      <c r="D701" s="3" t="n">
        <v>1534.5</v>
      </c>
      <c r="E701" s="3" t="n">
        <v>1505.52</v>
      </c>
      <c r="F701" s="4">
        <f>C701/C700-1</f>
        <v/>
      </c>
      <c r="G701" s="4">
        <f>E701/E700-1</f>
        <v/>
      </c>
    </row>
    <row r="702">
      <c r="A702" s="2" t="n">
        <v>45482</v>
      </c>
      <c r="B702" s="3" t="n">
        <v>24433.2</v>
      </c>
      <c r="C702" s="3" t="n">
        <v>24433.2</v>
      </c>
      <c r="D702" s="3" t="n">
        <v>1556.95</v>
      </c>
      <c r="E702" s="3" t="n">
        <v>1527.55</v>
      </c>
      <c r="F702" s="4">
        <f>C702/C701-1</f>
        <v/>
      </c>
      <c r="G702" s="4">
        <f>E702/E701-1</f>
        <v/>
      </c>
    </row>
    <row r="703">
      <c r="A703" s="2" t="n">
        <v>45483</v>
      </c>
      <c r="B703" s="3" t="n">
        <v>24324.45</v>
      </c>
      <c r="C703" s="3" t="n">
        <v>24324.45</v>
      </c>
      <c r="D703" s="3" t="n">
        <v>1580.82</v>
      </c>
      <c r="E703" s="3" t="n">
        <v>1550.97</v>
      </c>
      <c r="F703" s="4">
        <f>C703/C702-1</f>
        <v/>
      </c>
      <c r="G703" s="4">
        <f>E703/E702-1</f>
        <v/>
      </c>
    </row>
    <row r="704">
      <c r="A704" s="2" t="n">
        <v>45484</v>
      </c>
      <c r="B704" s="3" t="n">
        <v>24315.95</v>
      </c>
      <c r="C704" s="3" t="n">
        <v>24315.95</v>
      </c>
      <c r="D704" s="3" t="n">
        <v>1580.72</v>
      </c>
      <c r="E704" s="3" t="n">
        <v>1550.88</v>
      </c>
      <c r="F704" s="4">
        <f>C704/C703-1</f>
        <v/>
      </c>
      <c r="G704" s="4">
        <f>E704/E703-1</f>
        <v/>
      </c>
    </row>
    <row r="705">
      <c r="A705" s="2" t="n">
        <v>45485</v>
      </c>
      <c r="B705" s="3" t="n">
        <v>24502.15</v>
      </c>
      <c r="C705" s="3" t="n">
        <v>24502.15</v>
      </c>
      <c r="D705" s="3" t="n">
        <v>1573.82</v>
      </c>
      <c r="E705" s="3" t="n">
        <v>1544.11</v>
      </c>
      <c r="F705" s="4">
        <f>C705/C704-1</f>
        <v/>
      </c>
      <c r="G705" s="4">
        <f>E705/E704-1</f>
        <v/>
      </c>
    </row>
    <row r="706">
      <c r="A706" s="2" t="n">
        <v>45488</v>
      </c>
      <c r="B706" s="3" t="n">
        <v>24586.7</v>
      </c>
      <c r="C706" s="3" t="n">
        <v>24586.7</v>
      </c>
      <c r="D706" s="3" t="n">
        <v>1585.5</v>
      </c>
      <c r="E706" s="3" t="n">
        <v>1555.56</v>
      </c>
      <c r="F706" s="4">
        <f>C706/C705-1</f>
        <v/>
      </c>
      <c r="G706" s="4">
        <f>E706/E705-1</f>
        <v/>
      </c>
    </row>
    <row r="707">
      <c r="A707" s="2" t="n">
        <v>45489</v>
      </c>
      <c r="B707" s="3" t="n">
        <v>24613</v>
      </c>
      <c r="C707" s="3" t="n">
        <v>24613</v>
      </c>
      <c r="D707" s="3" t="n">
        <v>1587.57</v>
      </c>
      <c r="E707" s="3" t="n">
        <v>1557.6</v>
      </c>
      <c r="F707" s="4">
        <f>C707/C706-1</f>
        <v/>
      </c>
      <c r="G707" s="4">
        <f>E707/E706-1</f>
        <v/>
      </c>
    </row>
    <row r="708">
      <c r="A708" s="2" t="n">
        <v>45491</v>
      </c>
      <c r="B708" s="3" t="n">
        <v>24800.85</v>
      </c>
      <c r="C708" s="3" t="n">
        <v>24800.85</v>
      </c>
      <c r="D708" s="3" t="n">
        <v>1596.7</v>
      </c>
      <c r="E708" s="3" t="n">
        <v>1566.55</v>
      </c>
      <c r="F708" s="4">
        <f>C708/C707-1</f>
        <v/>
      </c>
      <c r="G708" s="4">
        <f>E708/E707-1</f>
        <v/>
      </c>
    </row>
    <row r="709">
      <c r="A709" s="2" t="n">
        <v>45492</v>
      </c>
      <c r="B709" s="3" t="n">
        <v>24530.9</v>
      </c>
      <c r="C709" s="3" t="n">
        <v>24530.9</v>
      </c>
      <c r="D709" s="3" t="n">
        <v>1567.38</v>
      </c>
      <c r="E709" s="3" t="n">
        <v>1537.78</v>
      </c>
      <c r="F709" s="4">
        <f>C709/C708-1</f>
        <v/>
      </c>
      <c r="G709" s="4">
        <f>E709/E708-1</f>
        <v/>
      </c>
    </row>
    <row r="710">
      <c r="A710" s="2" t="n">
        <v>45495</v>
      </c>
      <c r="B710" s="3" t="n">
        <v>24509.25</v>
      </c>
      <c r="C710" s="3" t="n">
        <v>24509.25</v>
      </c>
      <c r="D710" s="3" t="n">
        <v>1575.18</v>
      </c>
      <c r="E710" s="3" t="n">
        <v>1545.43</v>
      </c>
      <c r="F710" s="4">
        <f>C710/C709-1</f>
        <v/>
      </c>
      <c r="G710" s="4">
        <f>E710/E709-1</f>
        <v/>
      </c>
    </row>
    <row r="711">
      <c r="A711" s="2" t="n">
        <v>45496</v>
      </c>
      <c r="B711" s="3" t="n">
        <v>24479.05</v>
      </c>
      <c r="C711" s="3" t="n">
        <v>24479.05</v>
      </c>
      <c r="D711" s="3" t="n">
        <v>1588.2</v>
      </c>
      <c r="E711" s="3" t="n">
        <v>1558.21</v>
      </c>
      <c r="F711" s="4">
        <f>C711/C710-1</f>
        <v/>
      </c>
      <c r="G711" s="4">
        <f>E711/E710-1</f>
        <v/>
      </c>
    </row>
    <row r="712">
      <c r="A712" s="2" t="n">
        <v>45497</v>
      </c>
      <c r="B712" s="3" t="n">
        <v>24413.5</v>
      </c>
      <c r="C712" s="3" t="n">
        <v>24413.5</v>
      </c>
      <c r="D712" s="3" t="n">
        <v>1554.45</v>
      </c>
      <c r="E712" s="3" t="n">
        <v>1532.82</v>
      </c>
      <c r="F712" s="4">
        <f>C712/C711-1</f>
        <v/>
      </c>
      <c r="G712" s="4">
        <f>E712/E711-1</f>
        <v/>
      </c>
    </row>
    <row r="713">
      <c r="A713" s="2" t="n">
        <v>45498</v>
      </c>
      <c r="B713" s="3" t="n">
        <v>24406.1</v>
      </c>
      <c r="C713" s="3" t="n">
        <v>24406.1</v>
      </c>
      <c r="D713" s="3" t="n">
        <v>1554.78</v>
      </c>
      <c r="E713" s="3" t="n">
        <v>1533.14</v>
      </c>
      <c r="F713" s="4">
        <f>C713/C712-1</f>
        <v/>
      </c>
      <c r="G713" s="4">
        <f>E713/E712-1</f>
        <v/>
      </c>
    </row>
    <row r="714">
      <c r="A714" s="2" t="n">
        <v>45499</v>
      </c>
      <c r="B714" s="3" t="n">
        <v>24834.85</v>
      </c>
      <c r="C714" s="3" t="n">
        <v>24834.85</v>
      </c>
      <c r="D714" s="3" t="n">
        <v>1567.68</v>
      </c>
      <c r="E714" s="3" t="n">
        <v>1545.86</v>
      </c>
      <c r="F714" s="4">
        <f>C714/C713-1</f>
        <v/>
      </c>
      <c r="G714" s="4">
        <f>E714/E713-1</f>
        <v/>
      </c>
    </row>
    <row r="715">
      <c r="A715" s="2" t="n">
        <v>45502</v>
      </c>
      <c r="B715" s="3" t="n">
        <v>24836.1</v>
      </c>
      <c r="C715" s="3" t="n">
        <v>24836.1</v>
      </c>
      <c r="D715" s="3" t="n">
        <v>1575.93</v>
      </c>
      <c r="E715" s="3" t="n">
        <v>1553.99</v>
      </c>
      <c r="F715" s="4">
        <f>C715/C714-1</f>
        <v/>
      </c>
      <c r="G715" s="4">
        <f>E715/E714-1</f>
        <v/>
      </c>
    </row>
    <row r="716">
      <c r="A716" s="2" t="n">
        <v>45503</v>
      </c>
      <c r="B716" s="3" t="n">
        <v>24857.3</v>
      </c>
      <c r="C716" s="3" t="n">
        <v>24857.3</v>
      </c>
      <c r="D716" s="3" t="n">
        <v>1578</v>
      </c>
      <c r="E716" s="3" t="n">
        <v>1556.04</v>
      </c>
      <c r="F716" s="4">
        <f>C716/C715-1</f>
        <v/>
      </c>
      <c r="G716" s="4">
        <f>E716/E715-1</f>
        <v/>
      </c>
    </row>
    <row r="717">
      <c r="A717" s="2" t="n">
        <v>45504</v>
      </c>
      <c r="B717" s="3" t="n">
        <v>24951.15</v>
      </c>
      <c r="C717" s="3" t="n">
        <v>24951.15</v>
      </c>
      <c r="D717" s="3" t="n">
        <v>1593.2</v>
      </c>
      <c r="E717" s="3" t="n">
        <v>1571.03</v>
      </c>
      <c r="F717" s="4">
        <f>C717/C716-1</f>
        <v/>
      </c>
      <c r="G717" s="4">
        <f>E717/E716-1</f>
        <v/>
      </c>
    </row>
    <row r="718">
      <c r="A718" s="2" t="n">
        <v>45505</v>
      </c>
      <c r="B718" s="3" t="n">
        <v>25010.9</v>
      </c>
      <c r="C718" s="3" t="n">
        <v>25010.9</v>
      </c>
      <c r="D718" s="3" t="n">
        <v>1560.65</v>
      </c>
      <c r="E718" s="3" t="n">
        <v>1538.93</v>
      </c>
      <c r="F718" s="4">
        <f>C718/C717-1</f>
        <v/>
      </c>
      <c r="G718" s="4">
        <f>E718/E717-1</f>
        <v/>
      </c>
    </row>
    <row r="719">
      <c r="A719" s="2" t="n">
        <v>45506</v>
      </c>
      <c r="B719" s="3" t="n">
        <v>24717.7</v>
      </c>
      <c r="C719" s="3" t="n">
        <v>24717.7</v>
      </c>
      <c r="D719" s="3" t="n">
        <v>1567.03</v>
      </c>
      <c r="E719" s="3" t="n">
        <v>1545.22</v>
      </c>
      <c r="F719" s="4">
        <f>C719/C718-1</f>
        <v/>
      </c>
      <c r="G719" s="4">
        <f>E719/E718-1</f>
        <v/>
      </c>
    </row>
    <row r="720">
      <c r="A720" s="2" t="n">
        <v>45509</v>
      </c>
      <c r="B720" s="3" t="n">
        <v>24055.6</v>
      </c>
      <c r="C720" s="3" t="n">
        <v>24055.6</v>
      </c>
      <c r="D720" s="3" t="n">
        <v>1536.47</v>
      </c>
      <c r="E720" s="3" t="n">
        <v>1515.09</v>
      </c>
      <c r="F720" s="4">
        <f>C720/C719-1</f>
        <v/>
      </c>
      <c r="G720" s="4">
        <f>E720/E719-1</f>
        <v/>
      </c>
    </row>
    <row r="721">
      <c r="A721" s="2" t="n">
        <v>45510</v>
      </c>
      <c r="B721" s="3" t="n">
        <v>23992.55</v>
      </c>
      <c r="C721" s="3" t="n">
        <v>23992.55</v>
      </c>
      <c r="D721" s="3" t="n">
        <v>1527.62</v>
      </c>
      <c r="E721" s="3" t="n">
        <v>1506.37</v>
      </c>
      <c r="F721" s="4">
        <f>C721/C720-1</f>
        <v/>
      </c>
      <c r="G721" s="4">
        <f>E721/E720-1</f>
        <v/>
      </c>
    </row>
    <row r="722">
      <c r="A722" s="2" t="n">
        <v>45511</v>
      </c>
      <c r="B722" s="3" t="n">
        <v>24297.5</v>
      </c>
      <c r="C722" s="3" t="n">
        <v>24297.5</v>
      </c>
      <c r="D722" s="3" t="n">
        <v>1576.43</v>
      </c>
      <c r="E722" s="3" t="n">
        <v>1554.49</v>
      </c>
      <c r="F722" s="4">
        <f>C722/C721-1</f>
        <v/>
      </c>
      <c r="G722" s="4">
        <f>E722/E721-1</f>
        <v/>
      </c>
    </row>
    <row r="723">
      <c r="A723" s="2" t="n">
        <v>45512</v>
      </c>
      <c r="B723" s="3" t="n">
        <v>24117</v>
      </c>
      <c r="C723" s="3" t="n">
        <v>24117</v>
      </c>
      <c r="D723" s="3" t="n">
        <v>1584.15</v>
      </c>
      <c r="E723" s="3" t="n">
        <v>1562.1</v>
      </c>
      <c r="F723" s="4">
        <f>C723/C722-1</f>
        <v/>
      </c>
      <c r="G723" s="4">
        <f>E723/E722-1</f>
        <v/>
      </c>
    </row>
    <row r="724">
      <c r="A724" s="2" t="n">
        <v>45513</v>
      </c>
      <c r="B724" s="3" t="n">
        <v>24367.5</v>
      </c>
      <c r="C724" s="3" t="n">
        <v>24367.5</v>
      </c>
      <c r="D724" s="3" t="n">
        <v>1566.57</v>
      </c>
      <c r="E724" s="3" t="n">
        <v>1544.77</v>
      </c>
      <c r="F724" s="4">
        <f>C724/C723-1</f>
        <v/>
      </c>
      <c r="G724" s="4">
        <f>E724/E723-1</f>
        <v/>
      </c>
    </row>
    <row r="725">
      <c r="A725" s="2" t="n">
        <v>45516</v>
      </c>
      <c r="B725" s="3" t="n">
        <v>24347</v>
      </c>
      <c r="C725" s="3" t="n">
        <v>24347</v>
      </c>
      <c r="D725" s="3" t="n">
        <v>1525.9</v>
      </c>
      <c r="E725" s="3" t="n">
        <v>1504.67</v>
      </c>
      <c r="F725" s="4">
        <f>C725/C724-1</f>
        <v/>
      </c>
      <c r="G725" s="4">
        <f>E725/E724-1</f>
        <v/>
      </c>
    </row>
    <row r="726">
      <c r="A726" s="2" t="n">
        <v>45517</v>
      </c>
      <c r="B726" s="3" t="n">
        <v>24139</v>
      </c>
      <c r="C726" s="3" t="n">
        <v>24139</v>
      </c>
      <c r="D726" s="3" t="n">
        <v>1523.55</v>
      </c>
      <c r="E726" s="3" t="n">
        <v>1502.35</v>
      </c>
      <c r="F726" s="4">
        <f>C726/C725-1</f>
        <v/>
      </c>
      <c r="G726" s="4">
        <f>E726/E725-1</f>
        <v/>
      </c>
    </row>
    <row r="727">
      <c r="A727" s="2" t="n">
        <v>45518</v>
      </c>
      <c r="B727" s="3" t="n">
        <v>24143.75</v>
      </c>
      <c r="C727" s="3" t="n">
        <v>24143.75</v>
      </c>
      <c r="D727" s="3" t="n">
        <v>1515.38</v>
      </c>
      <c r="E727" s="3" t="n">
        <v>1494.29</v>
      </c>
      <c r="F727" s="4">
        <f>C727/C726-1</f>
        <v/>
      </c>
      <c r="G727" s="4">
        <f>E727/E726-1</f>
        <v/>
      </c>
    </row>
    <row r="728">
      <c r="A728" s="2" t="n">
        <v>45520</v>
      </c>
      <c r="B728" s="3" t="n">
        <v>24541.15</v>
      </c>
      <c r="C728" s="3" t="n">
        <v>24541.15</v>
      </c>
      <c r="D728" s="3" t="n">
        <v>1528.68</v>
      </c>
      <c r="E728" s="3" t="n">
        <v>1507.4</v>
      </c>
      <c r="F728" s="4">
        <f>C728/C727-1</f>
        <v/>
      </c>
      <c r="G728" s="4">
        <f>E728/E727-1</f>
        <v/>
      </c>
    </row>
    <row r="729">
      <c r="A729" s="2" t="n">
        <v>45523</v>
      </c>
      <c r="B729" s="3" t="n">
        <v>24572.65</v>
      </c>
      <c r="C729" s="3" t="n">
        <v>24572.65</v>
      </c>
      <c r="D729" s="3" t="n">
        <v>1528.3</v>
      </c>
      <c r="E729" s="3" t="n">
        <v>1507.03</v>
      </c>
      <c r="F729" s="4">
        <f>C729/C728-1</f>
        <v/>
      </c>
      <c r="G729" s="4">
        <f>E729/E728-1</f>
        <v/>
      </c>
    </row>
    <row r="730">
      <c r="A730" s="2" t="n">
        <v>45524</v>
      </c>
      <c r="B730" s="3" t="n">
        <v>24698.85</v>
      </c>
      <c r="C730" s="3" t="n">
        <v>24698.85</v>
      </c>
      <c r="D730" s="3" t="n">
        <v>1533.22</v>
      </c>
      <c r="E730" s="3" t="n">
        <v>1511.89</v>
      </c>
      <c r="F730" s="4">
        <f>C730/C729-1</f>
        <v/>
      </c>
      <c r="G730" s="4">
        <f>E730/E729-1</f>
        <v/>
      </c>
    </row>
    <row r="731">
      <c r="A731" s="2" t="n">
        <v>45525</v>
      </c>
      <c r="B731" s="3" t="n">
        <v>24770.2</v>
      </c>
      <c r="C731" s="3" t="n">
        <v>24770.2</v>
      </c>
      <c r="D731" s="3" t="n">
        <v>1528.88</v>
      </c>
      <c r="E731" s="3" t="n">
        <v>1507.6</v>
      </c>
      <c r="F731" s="4">
        <f>C731/C730-1</f>
        <v/>
      </c>
      <c r="G731" s="4">
        <f>E731/E730-1</f>
        <v/>
      </c>
    </row>
    <row r="732">
      <c r="A732" s="2" t="n">
        <v>45526</v>
      </c>
      <c r="B732" s="3" t="n">
        <v>24811.5</v>
      </c>
      <c r="C732" s="3" t="n">
        <v>24811.5</v>
      </c>
      <c r="D732" s="3" t="n">
        <v>1563.55</v>
      </c>
      <c r="E732" s="3" t="n">
        <v>1541.79</v>
      </c>
      <c r="F732" s="4">
        <f>C732/C731-1</f>
        <v/>
      </c>
      <c r="G732" s="4">
        <f>E732/E731-1</f>
        <v/>
      </c>
    </row>
    <row r="733">
      <c r="A733" s="2" t="n">
        <v>45527</v>
      </c>
      <c r="B733" s="3" t="n">
        <v>24823.15</v>
      </c>
      <c r="C733" s="3" t="n">
        <v>24823.15</v>
      </c>
      <c r="D733" s="3" t="n">
        <v>1542.32</v>
      </c>
      <c r="E733" s="3" t="n">
        <v>1520.86</v>
      </c>
      <c r="F733" s="4">
        <f>C733/C732-1</f>
        <v/>
      </c>
      <c r="G733" s="4">
        <f>E733/E732-1</f>
        <v/>
      </c>
    </row>
    <row r="734">
      <c r="A734" s="2" t="n">
        <v>45530</v>
      </c>
      <c r="B734" s="3" t="n">
        <v>25010.6</v>
      </c>
      <c r="C734" s="3" t="n">
        <v>25010.6</v>
      </c>
      <c r="D734" s="3" t="n">
        <v>1554.32</v>
      </c>
      <c r="E734" s="3" t="n">
        <v>1532.69</v>
      </c>
      <c r="F734" s="4">
        <f>C734/C733-1</f>
        <v/>
      </c>
      <c r="G734" s="4">
        <f>E734/E733-1</f>
        <v/>
      </c>
    </row>
    <row r="735">
      <c r="A735" s="2" t="n">
        <v>45531</v>
      </c>
      <c r="B735" s="3" t="n">
        <v>25017.75</v>
      </c>
      <c r="C735" s="3" t="n">
        <v>25017.75</v>
      </c>
      <c r="D735" s="3" t="n">
        <v>1549.57</v>
      </c>
      <c r="E735" s="3" t="n">
        <v>1528.01</v>
      </c>
      <c r="F735" s="4">
        <f>C735/C734-1</f>
        <v/>
      </c>
      <c r="G735" s="4">
        <f>E735/E734-1</f>
        <v/>
      </c>
    </row>
    <row r="736">
      <c r="A736" s="2" t="n">
        <v>45532</v>
      </c>
      <c r="B736" s="3" t="n">
        <v>25052.35</v>
      </c>
      <c r="C736" s="3" t="n">
        <v>25052.35</v>
      </c>
      <c r="D736" s="3" t="n">
        <v>1541.57</v>
      </c>
      <c r="E736" s="3" t="n">
        <v>1520.12</v>
      </c>
      <c r="F736" s="4">
        <f>C736/C735-1</f>
        <v/>
      </c>
      <c r="G736" s="4">
        <f>E736/E735-1</f>
        <v/>
      </c>
    </row>
    <row r="737">
      <c r="A737" s="2" t="n">
        <v>45533</v>
      </c>
      <c r="B737" s="3" t="n">
        <v>25151.95</v>
      </c>
      <c r="C737" s="3" t="n">
        <v>25151.95</v>
      </c>
      <c r="D737" s="3" t="n">
        <v>1540.43</v>
      </c>
      <c r="E737" s="3" t="n">
        <v>1518.99</v>
      </c>
      <c r="F737" s="4">
        <f>C737/C736-1</f>
        <v/>
      </c>
      <c r="G737" s="4">
        <f>E737/E736-1</f>
        <v/>
      </c>
    </row>
    <row r="738">
      <c r="A738" s="2" t="n">
        <v>45534</v>
      </c>
      <c r="B738" s="3" t="n">
        <v>25235.9</v>
      </c>
      <c r="C738" s="3" t="n">
        <v>25235.9</v>
      </c>
      <c r="D738" s="3" t="n">
        <v>1561.65</v>
      </c>
      <c r="E738" s="3" t="n">
        <v>1539.92</v>
      </c>
      <c r="F738" s="4">
        <f>C738/C737-1</f>
        <v/>
      </c>
      <c r="G738" s="4">
        <f>E738/E737-1</f>
        <v/>
      </c>
    </row>
    <row r="739">
      <c r="A739" s="2" t="n">
        <v>45537</v>
      </c>
      <c r="B739" s="3" t="n">
        <v>25278.7</v>
      </c>
      <c r="C739" s="3" t="n">
        <v>25278.7</v>
      </c>
      <c r="D739" s="3" t="n">
        <v>1581.1</v>
      </c>
      <c r="E739" s="3" t="n">
        <v>1559.1</v>
      </c>
      <c r="F739" s="4">
        <f>C739/C738-1</f>
        <v/>
      </c>
      <c r="G739" s="4">
        <f>E739/E738-1</f>
        <v/>
      </c>
    </row>
    <row r="740">
      <c r="A740" s="2" t="n">
        <v>45538</v>
      </c>
      <c r="B740" s="3" t="n">
        <v>25279.85</v>
      </c>
      <c r="C740" s="3" t="n">
        <v>25279.85</v>
      </c>
      <c r="D740" s="3" t="n">
        <v>1586.78</v>
      </c>
      <c r="E740" s="3" t="n">
        <v>1564.69</v>
      </c>
      <c r="F740" s="4">
        <f>C740/C739-1</f>
        <v/>
      </c>
      <c r="G740" s="4">
        <f>E740/E739-1</f>
        <v/>
      </c>
    </row>
    <row r="741">
      <c r="A741" s="2" t="n">
        <v>45539</v>
      </c>
      <c r="B741" s="3" t="n">
        <v>25198.7</v>
      </c>
      <c r="C741" s="3" t="n">
        <v>25198.7</v>
      </c>
      <c r="D741" s="3" t="n">
        <v>1607.47</v>
      </c>
      <c r="E741" s="3" t="n">
        <v>1585.1</v>
      </c>
      <c r="F741" s="4">
        <f>C741/C740-1</f>
        <v/>
      </c>
      <c r="G741" s="4">
        <f>E741/E740-1</f>
        <v/>
      </c>
    </row>
    <row r="742">
      <c r="A742" s="2" t="n">
        <v>45540</v>
      </c>
      <c r="B742" s="3" t="n">
        <v>25145.1</v>
      </c>
      <c r="C742" s="3" t="n">
        <v>25145.1</v>
      </c>
      <c r="D742" s="3" t="n">
        <v>1604.6</v>
      </c>
      <c r="E742" s="3" t="n">
        <v>1582.27</v>
      </c>
      <c r="F742" s="4">
        <f>C742/C741-1</f>
        <v/>
      </c>
      <c r="G742" s="4">
        <f>E742/E741-1</f>
        <v/>
      </c>
    </row>
    <row r="743">
      <c r="A743" s="2" t="n">
        <v>45541</v>
      </c>
      <c r="B743" s="3" t="n">
        <v>24852.15</v>
      </c>
      <c r="C743" s="3" t="n">
        <v>24852.15</v>
      </c>
      <c r="D743" s="3" t="n">
        <v>1616.85</v>
      </c>
      <c r="E743" s="3" t="n">
        <v>1594.35</v>
      </c>
      <c r="F743" s="4">
        <f>C743/C742-1</f>
        <v/>
      </c>
      <c r="G743" s="4">
        <f>E743/E742-1</f>
        <v/>
      </c>
    </row>
    <row r="744">
      <c r="A744" s="2" t="n">
        <v>45544</v>
      </c>
      <c r="B744" s="3" t="n">
        <v>24936.4</v>
      </c>
      <c r="C744" s="3" t="n">
        <v>24936.4</v>
      </c>
      <c r="D744" s="3" t="n">
        <v>1636.97</v>
      </c>
      <c r="E744" s="3" t="n">
        <v>1614.19</v>
      </c>
      <c r="F744" s="4">
        <f>C744/C743-1</f>
        <v/>
      </c>
      <c r="G744" s="4">
        <f>E744/E743-1</f>
        <v/>
      </c>
    </row>
    <row r="745">
      <c r="A745" s="2" t="n">
        <v>45545</v>
      </c>
      <c r="B745" s="3" t="n">
        <v>25041.1</v>
      </c>
      <c r="C745" s="3" t="n">
        <v>25041.1</v>
      </c>
      <c r="D745" s="3" t="n">
        <v>1615.72</v>
      </c>
      <c r="E745" s="3" t="n">
        <v>1593.24</v>
      </c>
      <c r="F745" s="4">
        <f>C745/C744-1</f>
        <v/>
      </c>
      <c r="G745" s="4">
        <f>E745/E744-1</f>
        <v/>
      </c>
    </row>
    <row r="746">
      <c r="A746" s="2" t="n">
        <v>45546</v>
      </c>
      <c r="B746" s="3" t="n">
        <v>24918.45</v>
      </c>
      <c r="C746" s="3" t="n">
        <v>24918.45</v>
      </c>
      <c r="D746" s="3" t="n">
        <v>1627.15</v>
      </c>
      <c r="E746" s="3" t="n">
        <v>1604.51</v>
      </c>
      <c r="F746" s="4">
        <f>C746/C745-1</f>
        <v/>
      </c>
      <c r="G746" s="4">
        <f>E746/E745-1</f>
        <v/>
      </c>
    </row>
    <row r="747">
      <c r="A747" s="2" t="n">
        <v>45547</v>
      </c>
      <c r="B747" s="3" t="n">
        <v>25388.9</v>
      </c>
      <c r="C747" s="3" t="n">
        <v>25388.9</v>
      </c>
      <c r="D747" s="3" t="n">
        <v>1634.82</v>
      </c>
      <c r="E747" s="3" t="n">
        <v>1612.07</v>
      </c>
      <c r="F747" s="4">
        <f>C747/C746-1</f>
        <v/>
      </c>
      <c r="G747" s="4">
        <f>E747/E746-1</f>
        <v/>
      </c>
    </row>
    <row r="748">
      <c r="A748" s="2" t="n">
        <v>45548</v>
      </c>
      <c r="B748" s="3" t="n">
        <v>25356.5</v>
      </c>
      <c r="C748" s="3" t="n">
        <v>25356.5</v>
      </c>
      <c r="D748" s="3" t="n">
        <v>1655</v>
      </c>
      <c r="E748" s="3" t="n">
        <v>1631.97</v>
      </c>
      <c r="F748" s="4">
        <f>C748/C747-1</f>
        <v/>
      </c>
      <c r="G748" s="4">
        <f>E748/E747-1</f>
        <v/>
      </c>
    </row>
    <row r="749">
      <c r="A749" s="2" t="n">
        <v>45551</v>
      </c>
      <c r="B749" s="3" t="n">
        <v>25383.75</v>
      </c>
      <c r="C749" s="3" t="n">
        <v>25383.75</v>
      </c>
      <c r="D749" s="3" t="n">
        <v>1652.38</v>
      </c>
      <c r="E749" s="3" t="n">
        <v>1629.38</v>
      </c>
      <c r="F749" s="4">
        <f>C749/C748-1</f>
        <v/>
      </c>
      <c r="G749" s="4">
        <f>E749/E748-1</f>
        <v/>
      </c>
    </row>
    <row r="750">
      <c r="A750" s="2" t="n">
        <v>45552</v>
      </c>
      <c r="B750" s="3" t="n">
        <v>25418.55</v>
      </c>
      <c r="C750" s="3" t="n">
        <v>25418.55</v>
      </c>
      <c r="D750" s="3" t="n">
        <v>1634.55</v>
      </c>
      <c r="E750" s="3" t="n">
        <v>1611.8</v>
      </c>
      <c r="F750" s="4">
        <f>C750/C749-1</f>
        <v/>
      </c>
      <c r="G750" s="4">
        <f>E750/E749-1</f>
        <v/>
      </c>
    </row>
    <row r="751">
      <c r="A751" s="2" t="n">
        <v>45553</v>
      </c>
      <c r="B751" s="3" t="n">
        <v>25377.55</v>
      </c>
      <c r="C751" s="3" t="n">
        <v>25377.55</v>
      </c>
      <c r="D751" s="3" t="n">
        <v>1596.15</v>
      </c>
      <c r="E751" s="3" t="n">
        <v>1573.94</v>
      </c>
      <c r="F751" s="4">
        <f>C751/C750-1</f>
        <v/>
      </c>
      <c r="G751" s="4">
        <f>E751/E750-1</f>
        <v/>
      </c>
    </row>
    <row r="752">
      <c r="A752" s="2" t="n">
        <v>45554</v>
      </c>
      <c r="B752" s="3" t="n">
        <v>25415.8</v>
      </c>
      <c r="C752" s="3" t="n">
        <v>25415.8</v>
      </c>
      <c r="D752" s="3" t="n">
        <v>1622</v>
      </c>
      <c r="E752" s="3" t="n">
        <v>1599.43</v>
      </c>
      <c r="F752" s="4">
        <f>C752/C751-1</f>
        <v/>
      </c>
      <c r="G752" s="4">
        <f>E752/E751-1</f>
        <v/>
      </c>
    </row>
    <row r="753">
      <c r="A753" s="2" t="n">
        <v>45555</v>
      </c>
      <c r="B753" s="3" t="n">
        <v>25790.95</v>
      </c>
      <c r="C753" s="3" t="n">
        <v>25790.95</v>
      </c>
      <c r="D753" s="3" t="n">
        <v>1643.55</v>
      </c>
      <c r="E753" s="3" t="n">
        <v>1620.68</v>
      </c>
      <c r="F753" s="4">
        <f>C753/C752-1</f>
        <v/>
      </c>
      <c r="G753" s="4">
        <f>E753/E752-1</f>
        <v/>
      </c>
    </row>
    <row r="754">
      <c r="A754" s="2" t="n">
        <v>45558</v>
      </c>
      <c r="B754" s="3" t="n">
        <v>25939.05</v>
      </c>
      <c r="C754" s="3" t="n">
        <v>25939.05</v>
      </c>
      <c r="D754" s="3" t="n">
        <v>1647.68</v>
      </c>
      <c r="E754" s="3" t="n">
        <v>1624.75</v>
      </c>
      <c r="F754" s="4">
        <f>C754/C753-1</f>
        <v/>
      </c>
      <c r="G754" s="4">
        <f>E754/E753-1</f>
        <v/>
      </c>
    </row>
    <row r="755">
      <c r="A755" s="2" t="n">
        <v>45559</v>
      </c>
      <c r="B755" s="3" t="n">
        <v>25940.4</v>
      </c>
      <c r="C755" s="3" t="n">
        <v>25940.4</v>
      </c>
      <c r="D755" s="3" t="n">
        <v>1632.53</v>
      </c>
      <c r="E755" s="3" t="n">
        <v>1609.81</v>
      </c>
      <c r="F755" s="4">
        <f>C755/C754-1</f>
        <v/>
      </c>
      <c r="G755" s="4">
        <f>E755/E754-1</f>
        <v/>
      </c>
    </row>
    <row r="756">
      <c r="A756" s="2" t="n">
        <v>45560</v>
      </c>
      <c r="B756" s="3" t="n">
        <v>26004.15</v>
      </c>
      <c r="C756" s="3" t="n">
        <v>26004.15</v>
      </c>
      <c r="D756" s="3" t="n">
        <v>1628.35</v>
      </c>
      <c r="E756" s="3" t="n">
        <v>1605.69</v>
      </c>
      <c r="F756" s="4">
        <f>C756/C755-1</f>
        <v/>
      </c>
      <c r="G756" s="4">
        <f>E756/E755-1</f>
        <v/>
      </c>
    </row>
    <row r="757">
      <c r="A757" s="2" t="n">
        <v>45561</v>
      </c>
      <c r="B757" s="3" t="n">
        <v>26216.05</v>
      </c>
      <c r="C757" s="3" t="n">
        <v>26216.05</v>
      </c>
      <c r="D757" s="3" t="n">
        <v>1644.82</v>
      </c>
      <c r="E757" s="3" t="n">
        <v>1621.94</v>
      </c>
      <c r="F757" s="4">
        <f>C757/C756-1</f>
        <v/>
      </c>
      <c r="G757" s="4">
        <f>E757/E756-1</f>
        <v/>
      </c>
    </row>
    <row r="758">
      <c r="A758" s="2" t="n">
        <v>45562</v>
      </c>
      <c r="B758" s="3" t="n">
        <v>26178.95</v>
      </c>
      <c r="C758" s="3" t="n">
        <v>26178.95</v>
      </c>
      <c r="D758" s="3" t="n">
        <v>1681.72</v>
      </c>
      <c r="E758" s="3" t="n">
        <v>1658.32</v>
      </c>
      <c r="F758" s="4">
        <f>C758/C757-1</f>
        <v/>
      </c>
      <c r="G758" s="4">
        <f>E758/E757-1</f>
        <v/>
      </c>
    </row>
    <row r="759">
      <c r="A759" s="2" t="n">
        <v>45565</v>
      </c>
      <c r="B759" s="3" t="n">
        <v>25810.85</v>
      </c>
      <c r="C759" s="3" t="n">
        <v>25810.85</v>
      </c>
      <c r="D759" s="3" t="n">
        <v>1679.7</v>
      </c>
      <c r="E759" s="3" t="n">
        <v>1656.32</v>
      </c>
      <c r="F759" s="4">
        <f>C759/C758-1</f>
        <v/>
      </c>
      <c r="G759" s="4">
        <f>E759/E758-1</f>
        <v/>
      </c>
    </row>
    <row r="760">
      <c r="A760" s="2" t="n">
        <v>45566</v>
      </c>
      <c r="B760" s="3" t="n">
        <v>25796.9</v>
      </c>
      <c r="C760" s="3" t="n">
        <v>25796.9</v>
      </c>
      <c r="D760" s="3" t="n">
        <v>1670.07</v>
      </c>
      <c r="E760" s="3" t="n">
        <v>1646.83</v>
      </c>
      <c r="F760" s="4">
        <f>C760/C759-1</f>
        <v/>
      </c>
      <c r="G760" s="4">
        <f>E760/E759-1</f>
        <v/>
      </c>
    </row>
    <row r="761">
      <c r="A761" s="2" t="n">
        <v>45568</v>
      </c>
      <c r="B761" s="3" t="n">
        <v>25250.1</v>
      </c>
      <c r="C761" s="3" t="n">
        <v>25250.1</v>
      </c>
      <c r="D761" s="3" t="n">
        <v>1649.9</v>
      </c>
      <c r="E761" s="3" t="n">
        <v>1626.94</v>
      </c>
      <c r="F761" s="4">
        <f>C761/C760-1</f>
        <v/>
      </c>
      <c r="G761" s="4">
        <f>E761/E760-1</f>
        <v/>
      </c>
    </row>
    <row r="762">
      <c r="A762" s="2" t="n">
        <v>45569</v>
      </c>
      <c r="B762" s="3" t="n">
        <v>25014.6</v>
      </c>
      <c r="C762" s="3" t="n">
        <v>25014.6</v>
      </c>
      <c r="D762" s="3" t="n">
        <v>1604.4</v>
      </c>
      <c r="E762" s="3" t="n">
        <v>1582.07</v>
      </c>
      <c r="F762" s="4">
        <f>C762/C761-1</f>
        <v/>
      </c>
      <c r="G762" s="4">
        <f>E762/E761-1</f>
        <v/>
      </c>
    </row>
    <row r="763">
      <c r="A763" s="2" t="n">
        <v>45572</v>
      </c>
      <c r="B763" s="3" t="n">
        <v>24795.75</v>
      </c>
      <c r="C763" s="3" t="n">
        <v>24795.75</v>
      </c>
      <c r="D763" s="3" t="n">
        <v>1576.65</v>
      </c>
      <c r="E763" s="3" t="n">
        <v>1554.71</v>
      </c>
      <c r="F763" s="4">
        <f>C763/C762-1</f>
        <v/>
      </c>
      <c r="G763" s="4">
        <f>E763/E762-1</f>
        <v/>
      </c>
    </row>
    <row r="764">
      <c r="A764" s="2" t="n">
        <v>45573</v>
      </c>
      <c r="B764" s="3" t="n">
        <v>25013.15</v>
      </c>
      <c r="C764" s="3" t="n">
        <v>25013.15</v>
      </c>
      <c r="D764" s="3" t="n">
        <v>1592.62</v>
      </c>
      <c r="E764" s="3" t="n">
        <v>1570.46</v>
      </c>
      <c r="F764" s="4">
        <f>C764/C763-1</f>
        <v/>
      </c>
      <c r="G764" s="4">
        <f>E764/E763-1</f>
        <v/>
      </c>
    </row>
    <row r="765">
      <c r="A765" s="2" t="n">
        <v>45574</v>
      </c>
      <c r="B765" s="3" t="n">
        <v>24981.95</v>
      </c>
      <c r="C765" s="3" t="n">
        <v>24981.95</v>
      </c>
      <c r="D765" s="3" t="n">
        <v>1587.15</v>
      </c>
      <c r="E765" s="3" t="n">
        <v>1565.06</v>
      </c>
      <c r="F765" s="4">
        <f>C765/C764-1</f>
        <v/>
      </c>
      <c r="G765" s="4">
        <f>E765/E764-1</f>
        <v/>
      </c>
    </row>
    <row r="766">
      <c r="A766" s="2" t="n">
        <v>45575</v>
      </c>
      <c r="B766" s="3" t="n">
        <v>24998.45</v>
      </c>
      <c r="C766" s="3" t="n">
        <v>24998.45</v>
      </c>
      <c r="D766" s="3" t="n">
        <v>1568.85</v>
      </c>
      <c r="E766" s="3" t="n">
        <v>1547.02</v>
      </c>
      <c r="F766" s="4">
        <f>C766/C765-1</f>
        <v/>
      </c>
      <c r="G766" s="4">
        <f>E766/E765-1</f>
        <v/>
      </c>
    </row>
    <row r="767">
      <c r="A767" s="2" t="n">
        <v>45576</v>
      </c>
      <c r="B767" s="3" t="n">
        <v>24964.25</v>
      </c>
      <c r="C767" s="3" t="n">
        <v>24964.25</v>
      </c>
      <c r="D767" s="3" t="n">
        <v>1555.1</v>
      </c>
      <c r="E767" s="3" t="n">
        <v>1533.46</v>
      </c>
      <c r="F767" s="4">
        <f>C767/C766-1</f>
        <v/>
      </c>
      <c r="G767" s="4">
        <f>E767/E766-1</f>
        <v/>
      </c>
    </row>
    <row r="768">
      <c r="A768" s="2" t="n">
        <v>45579</v>
      </c>
      <c r="B768" s="3" t="n">
        <v>25127.95</v>
      </c>
      <c r="C768" s="3" t="n">
        <v>25127.95</v>
      </c>
      <c r="D768" s="3" t="n">
        <v>1565.72</v>
      </c>
      <c r="E768" s="3" t="n">
        <v>1543.94</v>
      </c>
      <c r="F768" s="4">
        <f>C768/C767-1</f>
        <v/>
      </c>
      <c r="G768" s="4">
        <f>E768/E767-1</f>
        <v/>
      </c>
    </row>
    <row r="769">
      <c r="A769" s="2" t="n">
        <v>45580</v>
      </c>
      <c r="B769" s="3" t="n">
        <v>25057.35</v>
      </c>
      <c r="C769" s="3" t="n">
        <v>25057.35</v>
      </c>
      <c r="D769" s="3" t="n">
        <v>1581.88</v>
      </c>
      <c r="E769" s="3" t="n">
        <v>1559.86</v>
      </c>
      <c r="F769" s="4">
        <f>C769/C768-1</f>
        <v/>
      </c>
      <c r="G769" s="4">
        <f>E769/E768-1</f>
        <v/>
      </c>
    </row>
    <row r="770">
      <c r="A770" s="2" t="n">
        <v>45581</v>
      </c>
      <c r="B770" s="3" t="n">
        <v>24971.3</v>
      </c>
      <c r="C770" s="3" t="n">
        <v>24971.3</v>
      </c>
      <c r="D770" s="3" t="n">
        <v>1590.05</v>
      </c>
      <c r="E770" s="3" t="n">
        <v>1567.92</v>
      </c>
      <c r="F770" s="4">
        <f>C770/C769-1</f>
        <v/>
      </c>
      <c r="G770" s="4">
        <f>E770/E769-1</f>
        <v/>
      </c>
    </row>
    <row r="771">
      <c r="A771" s="2" t="n">
        <v>45582</v>
      </c>
      <c r="B771" s="3" t="n">
        <v>24749.85</v>
      </c>
      <c r="C771" s="3" t="n">
        <v>24749.85</v>
      </c>
      <c r="D771" s="3" t="n">
        <v>1577.22</v>
      </c>
      <c r="E771" s="3" t="n">
        <v>1555.28</v>
      </c>
      <c r="F771" s="4">
        <f>C771/C770-1</f>
        <v/>
      </c>
      <c r="G771" s="4">
        <f>E771/E770-1</f>
        <v/>
      </c>
    </row>
    <row r="772">
      <c r="A772" s="2" t="n">
        <v>45583</v>
      </c>
      <c r="B772" s="3" t="n">
        <v>24854.05</v>
      </c>
      <c r="C772" s="3" t="n">
        <v>24854.05</v>
      </c>
      <c r="D772" s="3" t="n">
        <v>1592</v>
      </c>
      <c r="E772" s="3" t="n">
        <v>1569.85</v>
      </c>
      <c r="F772" s="4">
        <f>C772/C771-1</f>
        <v/>
      </c>
      <c r="G772" s="4">
        <f>E772/E771-1</f>
        <v/>
      </c>
    </row>
    <row r="773">
      <c r="A773" s="2" t="n">
        <v>45586</v>
      </c>
      <c r="B773" s="3" t="n">
        <v>24781.1</v>
      </c>
      <c r="C773" s="3" t="n">
        <v>24781.1</v>
      </c>
      <c r="D773" s="3" t="n">
        <v>1576.75</v>
      </c>
      <c r="E773" s="3" t="n">
        <v>1554.81</v>
      </c>
      <c r="F773" s="4">
        <f>C773/C772-1</f>
        <v/>
      </c>
      <c r="G773" s="4">
        <f>E773/E772-1</f>
        <v/>
      </c>
    </row>
    <row r="774">
      <c r="A774" s="2" t="n">
        <v>45587</v>
      </c>
      <c r="B774" s="3" t="n">
        <v>24472.1</v>
      </c>
      <c r="C774" s="3" t="n">
        <v>24472.1</v>
      </c>
      <c r="D774" s="3" t="n">
        <v>1563.72</v>
      </c>
      <c r="E774" s="3" t="n">
        <v>1541.96</v>
      </c>
      <c r="F774" s="4">
        <f>C774/C773-1</f>
        <v/>
      </c>
      <c r="G774" s="4">
        <f>E774/E773-1</f>
        <v/>
      </c>
    </row>
    <row r="775">
      <c r="A775" s="2" t="n">
        <v>45588</v>
      </c>
      <c r="B775" s="3" t="n">
        <v>24435.5</v>
      </c>
      <c r="C775" s="3" t="n">
        <v>24435.5</v>
      </c>
      <c r="D775" s="3" t="n">
        <v>1545.35</v>
      </c>
      <c r="E775" s="3" t="n">
        <v>1523.84</v>
      </c>
      <c r="F775" s="4">
        <f>C775/C774-1</f>
        <v/>
      </c>
      <c r="G775" s="4">
        <f>E775/E774-1</f>
        <v/>
      </c>
    </row>
    <row r="776">
      <c r="A776" s="2" t="n">
        <v>45589</v>
      </c>
      <c r="B776" s="3" t="n">
        <v>24399.4</v>
      </c>
      <c r="C776" s="3" t="n">
        <v>24399.4</v>
      </c>
      <c r="D776" s="3" t="n">
        <v>1560.78</v>
      </c>
      <c r="E776" s="3" t="n">
        <v>1539.05</v>
      </c>
      <c r="F776" s="4">
        <f>C776/C775-1</f>
        <v/>
      </c>
      <c r="G776" s="4">
        <f>E776/E775-1</f>
        <v/>
      </c>
    </row>
    <row r="777">
      <c r="A777" s="2" t="n">
        <v>45590</v>
      </c>
      <c r="B777" s="3" t="n">
        <v>24180.8</v>
      </c>
      <c r="C777" s="3" t="n">
        <v>24180.8</v>
      </c>
      <c r="D777" s="3" t="n">
        <v>1589.47</v>
      </c>
      <c r="E777" s="3" t="n">
        <v>1567.36</v>
      </c>
      <c r="F777" s="4">
        <f>C777/C776-1</f>
        <v/>
      </c>
      <c r="G777" s="4">
        <f>E777/E776-1</f>
        <v/>
      </c>
    </row>
    <row r="778">
      <c r="A778" s="2" t="n">
        <v>45593</v>
      </c>
      <c r="B778" s="3" t="n">
        <v>24339.15</v>
      </c>
      <c r="C778" s="3" t="n">
        <v>24339.15</v>
      </c>
      <c r="D778" s="3" t="n">
        <v>1580.82</v>
      </c>
      <c r="E778" s="3" t="n">
        <v>1558.83</v>
      </c>
      <c r="F778" s="4">
        <f>C778/C777-1</f>
        <v/>
      </c>
      <c r="G778" s="4">
        <f>E778/E777-1</f>
        <v/>
      </c>
    </row>
    <row r="779">
      <c r="A779" s="2" t="n">
        <v>45594</v>
      </c>
      <c r="B779" s="3" t="n">
        <v>24466.85</v>
      </c>
      <c r="C779" s="3" t="n">
        <v>24466.85</v>
      </c>
      <c r="D779" s="3" t="n">
        <v>1554.5</v>
      </c>
      <c r="E779" s="3" t="n">
        <v>1532.87</v>
      </c>
      <c r="F779" s="4">
        <f>C779/C778-1</f>
        <v/>
      </c>
      <c r="G779" s="4">
        <f>E779/E778-1</f>
        <v/>
      </c>
    </row>
    <row r="780">
      <c r="A780" s="2" t="n">
        <v>45595</v>
      </c>
      <c r="B780" s="3" t="n">
        <v>24340.85</v>
      </c>
      <c r="C780" s="3" t="n">
        <v>24340.85</v>
      </c>
      <c r="D780" s="3" t="n">
        <v>1576.8</v>
      </c>
      <c r="E780" s="3" t="n">
        <v>1554.86</v>
      </c>
      <c r="F780" s="4">
        <f>C780/C779-1</f>
        <v/>
      </c>
      <c r="G780" s="4">
        <f>E780/E779-1</f>
        <v/>
      </c>
    </row>
    <row r="781">
      <c r="A781" s="2" t="n">
        <v>45596</v>
      </c>
      <c r="B781" s="3" t="n">
        <v>24205.35</v>
      </c>
      <c r="C781" s="3" t="n">
        <v>24205.35</v>
      </c>
      <c r="D781" s="3" t="n">
        <v>1572.93</v>
      </c>
      <c r="E781" s="3" t="n">
        <v>1551.04</v>
      </c>
      <c r="F781" s="4">
        <f>C781/C780-1</f>
        <v/>
      </c>
      <c r="G781" s="4">
        <f>E781/E780-1</f>
        <v/>
      </c>
    </row>
    <row r="782">
      <c r="A782" s="2" t="n">
        <v>45597</v>
      </c>
      <c r="B782" s="3" t="n">
        <v>24304.35</v>
      </c>
      <c r="C782" s="3" t="n">
        <v>24304.35</v>
      </c>
      <c r="D782" s="3" t="n">
        <v>1579.38</v>
      </c>
      <c r="E782" s="3" t="n">
        <v>1557.4</v>
      </c>
      <c r="F782" s="4">
        <f>C782/C781-1</f>
        <v/>
      </c>
      <c r="G782" s="4">
        <f>E782/E781-1</f>
        <v/>
      </c>
    </row>
    <row r="783">
      <c r="A783" s="2" t="n">
        <v>45600</v>
      </c>
      <c r="B783" s="3" t="n">
        <v>23995.35</v>
      </c>
      <c r="C783" s="3" t="n">
        <v>23995.35</v>
      </c>
      <c r="D783" s="3" t="n">
        <v>1560.28</v>
      </c>
      <c r="E783" s="3" t="n">
        <v>1538.56</v>
      </c>
      <c r="F783" s="4">
        <f>C783/C782-1</f>
        <v/>
      </c>
      <c r="G783" s="4">
        <f>E783/E782-1</f>
        <v/>
      </c>
    </row>
    <row r="784">
      <c r="A784" s="2" t="n">
        <v>45601</v>
      </c>
      <c r="B784" s="3" t="n">
        <v>24213.3</v>
      </c>
      <c r="C784" s="3" t="n">
        <v>24213.3</v>
      </c>
      <c r="D784" s="3" t="n">
        <v>1552.28</v>
      </c>
      <c r="E784" s="3" t="n">
        <v>1530.67</v>
      </c>
      <c r="F784" s="4">
        <f>C784/C783-1</f>
        <v/>
      </c>
      <c r="G784" s="4">
        <f>E784/E783-1</f>
        <v/>
      </c>
    </row>
    <row r="785">
      <c r="A785" s="2" t="n">
        <v>45602</v>
      </c>
      <c r="B785" s="3" t="n">
        <v>24484.05</v>
      </c>
      <c r="C785" s="3" t="n">
        <v>24484.05</v>
      </c>
      <c r="D785" s="3" t="n">
        <v>1590.4</v>
      </c>
      <c r="E785" s="3" t="n">
        <v>1568.27</v>
      </c>
      <c r="F785" s="4">
        <f>C785/C784-1</f>
        <v/>
      </c>
      <c r="G785" s="4">
        <f>E785/E784-1</f>
        <v/>
      </c>
    </row>
    <row r="786">
      <c r="A786" s="2" t="n">
        <v>45603</v>
      </c>
      <c r="B786" s="3" t="n">
        <v>24199.35</v>
      </c>
      <c r="C786" s="3" t="n">
        <v>24199.35</v>
      </c>
      <c r="D786" s="3" t="n">
        <v>1579.18</v>
      </c>
      <c r="E786" s="3" t="n">
        <v>1557.2</v>
      </c>
      <c r="F786" s="4">
        <f>C786/C785-1</f>
        <v/>
      </c>
      <c r="G786" s="4">
        <f>E786/E785-1</f>
        <v/>
      </c>
    </row>
    <row r="787">
      <c r="A787" s="2" t="n">
        <v>45604</v>
      </c>
      <c r="B787" s="3" t="n">
        <v>24148.2</v>
      </c>
      <c r="C787" s="3" t="n">
        <v>24148.2</v>
      </c>
      <c r="D787" s="3" t="n">
        <v>1562.85</v>
      </c>
      <c r="E787" s="3" t="n">
        <v>1541.1</v>
      </c>
      <c r="F787" s="4">
        <f>C787/C786-1</f>
        <v/>
      </c>
      <c r="G787" s="4">
        <f>E787/E786-1</f>
        <v/>
      </c>
    </row>
    <row r="788">
      <c r="A788" s="2" t="n">
        <v>45607</v>
      </c>
      <c r="B788" s="3" t="n">
        <v>24141.3</v>
      </c>
      <c r="C788" s="3" t="n">
        <v>24141.3</v>
      </c>
      <c r="D788" s="3" t="n">
        <v>1549.82</v>
      </c>
      <c r="E788" s="3" t="n">
        <v>1528.26</v>
      </c>
      <c r="F788" s="4">
        <f>C788/C787-1</f>
        <v/>
      </c>
      <c r="G788" s="4">
        <f>E788/E787-1</f>
        <v/>
      </c>
    </row>
    <row r="789">
      <c r="A789" s="2" t="n">
        <v>45608</v>
      </c>
      <c r="B789" s="3" t="n">
        <v>23883.45</v>
      </c>
      <c r="C789" s="3" t="n">
        <v>23883.45</v>
      </c>
      <c r="D789" s="3" t="n">
        <v>1520.15</v>
      </c>
      <c r="E789" s="3" t="n">
        <v>1499</v>
      </c>
      <c r="F789" s="4">
        <f>C789/C788-1</f>
        <v/>
      </c>
      <c r="G789" s="4">
        <f>E789/E788-1</f>
        <v/>
      </c>
    </row>
    <row r="790">
      <c r="A790" s="2" t="n">
        <v>45609</v>
      </c>
      <c r="B790" s="3" t="n">
        <v>23559.05</v>
      </c>
      <c r="C790" s="3" t="n">
        <v>23559.05</v>
      </c>
      <c r="D790" s="3" t="n">
        <v>1494.28</v>
      </c>
      <c r="E790" s="3" t="n">
        <v>1473.48</v>
      </c>
      <c r="F790" s="4">
        <f>C790/C789-1</f>
        <v/>
      </c>
      <c r="G790" s="4">
        <f>E790/E789-1</f>
        <v/>
      </c>
    </row>
    <row r="791">
      <c r="A791" s="2" t="n">
        <v>45610</v>
      </c>
      <c r="B791" s="3" t="n">
        <v>23532.7</v>
      </c>
      <c r="C791" s="3" t="n">
        <v>23532.7</v>
      </c>
      <c r="D791" s="3" t="n">
        <v>1510.85</v>
      </c>
      <c r="E791" s="3" t="n">
        <v>1489.82</v>
      </c>
      <c r="F791" s="4">
        <f>C791/C790-1</f>
        <v/>
      </c>
      <c r="G791" s="4">
        <f>E791/E790-1</f>
        <v/>
      </c>
    </row>
    <row r="792">
      <c r="A792" s="2" t="n">
        <v>45614</v>
      </c>
      <c r="B792" s="3" t="n">
        <v>23453.8</v>
      </c>
      <c r="C792" s="3" t="n">
        <v>23453.8</v>
      </c>
      <c r="D792" s="3" t="n">
        <v>1509.65</v>
      </c>
      <c r="E792" s="3" t="n">
        <v>1488.64</v>
      </c>
      <c r="F792" s="4">
        <f>C792/C791-1</f>
        <v/>
      </c>
      <c r="G792" s="4">
        <f>E792/E791-1</f>
        <v/>
      </c>
    </row>
    <row r="793">
      <c r="A793" s="2" t="n">
        <v>45615</v>
      </c>
      <c r="B793" s="3" t="n">
        <v>23518.5</v>
      </c>
      <c r="C793" s="3" t="n">
        <v>23518.5</v>
      </c>
      <c r="D793" s="3" t="n">
        <v>1500.95</v>
      </c>
      <c r="E793" s="3" t="n">
        <v>1480.06</v>
      </c>
      <c r="F793" s="4">
        <f>C793/C792-1</f>
        <v/>
      </c>
      <c r="G793" s="4">
        <f>E793/E792-1</f>
        <v/>
      </c>
    </row>
    <row r="794">
      <c r="A794" s="2" t="n">
        <v>45617</v>
      </c>
      <c r="B794" s="3" t="n">
        <v>23349.9</v>
      </c>
      <c r="C794" s="3" t="n">
        <v>23349.9</v>
      </c>
      <c r="D794" s="3" t="n">
        <v>1469.03</v>
      </c>
      <c r="E794" s="3" t="n">
        <v>1448.58</v>
      </c>
      <c r="F794" s="4">
        <f>C794/C793-1</f>
        <v/>
      </c>
      <c r="G794" s="4">
        <f>E794/E793-1</f>
        <v/>
      </c>
    </row>
    <row r="795">
      <c r="A795" s="2" t="n">
        <v>45618</v>
      </c>
      <c r="B795" s="3" t="n">
        <v>23907.25</v>
      </c>
      <c r="C795" s="3" t="n">
        <v>23907.25</v>
      </c>
      <c r="D795" s="3" t="n">
        <v>1478.28</v>
      </c>
      <c r="E795" s="3" t="n">
        <v>1457.7</v>
      </c>
      <c r="F795" s="4">
        <f>C795/C794-1</f>
        <v/>
      </c>
      <c r="G795" s="4">
        <f>E795/E794-1</f>
        <v/>
      </c>
    </row>
    <row r="796">
      <c r="A796" s="2" t="n">
        <v>45621</v>
      </c>
      <c r="B796" s="3" t="n">
        <v>24221.9</v>
      </c>
      <c r="C796" s="3" t="n">
        <v>24221.9</v>
      </c>
      <c r="D796" s="3" t="n">
        <v>1493.1</v>
      </c>
      <c r="E796" s="3" t="n">
        <v>1472.32</v>
      </c>
      <c r="F796" s="4">
        <f>C796/C795-1</f>
        <v/>
      </c>
      <c r="G796" s="4">
        <f>E796/E795-1</f>
        <v/>
      </c>
    </row>
    <row r="797">
      <c r="A797" s="2" t="n">
        <v>45622</v>
      </c>
      <c r="B797" s="3" t="n">
        <v>24194.5</v>
      </c>
      <c r="C797" s="3" t="n">
        <v>24194.5</v>
      </c>
      <c r="D797" s="3" t="n">
        <v>1506.03</v>
      </c>
      <c r="E797" s="3" t="n">
        <v>1485.07</v>
      </c>
      <c r="F797" s="4">
        <f>C797/C796-1</f>
        <v/>
      </c>
      <c r="G797" s="4">
        <f>E797/E796-1</f>
        <v/>
      </c>
    </row>
    <row r="798">
      <c r="A798" s="2" t="n">
        <v>45623</v>
      </c>
      <c r="B798" s="3" t="n">
        <v>24274.9</v>
      </c>
      <c r="C798" s="3" t="n">
        <v>24274.9</v>
      </c>
      <c r="D798" s="3" t="n">
        <v>1522.88</v>
      </c>
      <c r="E798" s="3" t="n">
        <v>1501.68</v>
      </c>
      <c r="F798" s="4">
        <f>C798/C797-1</f>
        <v/>
      </c>
      <c r="G798" s="4">
        <f>E798/E797-1</f>
        <v/>
      </c>
    </row>
    <row r="799">
      <c r="A799" s="2" t="n">
        <v>45624</v>
      </c>
      <c r="B799" s="3" t="n">
        <v>23914.15</v>
      </c>
      <c r="C799" s="3" t="n">
        <v>23914.15</v>
      </c>
      <c r="D799" s="3" t="n">
        <v>1521.95</v>
      </c>
      <c r="E799" s="3" t="n">
        <v>1500.77</v>
      </c>
      <c r="F799" s="4">
        <f>C799/C798-1</f>
        <v/>
      </c>
      <c r="G799" s="4">
        <f>E799/E798-1</f>
        <v/>
      </c>
    </row>
    <row r="800">
      <c r="A800" s="2" t="n">
        <v>45625</v>
      </c>
      <c r="B800" s="3" t="n">
        <v>24131.1</v>
      </c>
      <c r="C800" s="3" t="n">
        <v>24131.1</v>
      </c>
      <c r="D800" s="3" t="n">
        <v>1533.1</v>
      </c>
      <c r="E800" s="3" t="n">
        <v>1511.76</v>
      </c>
      <c r="F800" s="4">
        <f>C800/C799-1</f>
        <v/>
      </c>
      <c r="G800" s="4">
        <f>E800/E799-1</f>
        <v/>
      </c>
    </row>
    <row r="801">
      <c r="A801" s="2" t="n">
        <v>45628</v>
      </c>
      <c r="B801" s="3" t="n">
        <v>24276.05</v>
      </c>
      <c r="C801" s="3" t="n">
        <v>24276.05</v>
      </c>
      <c r="D801" s="3" t="n">
        <v>1566.25</v>
      </c>
      <c r="E801" s="3" t="n">
        <v>1544.45</v>
      </c>
      <c r="F801" s="4">
        <f>C801/C800-1</f>
        <v/>
      </c>
      <c r="G801" s="4">
        <f>E801/E800-1</f>
        <v/>
      </c>
    </row>
    <row r="802">
      <c r="A802" s="2" t="n">
        <v>45629</v>
      </c>
      <c r="B802" s="3" t="n">
        <v>24457.15</v>
      </c>
      <c r="C802" s="3" t="n">
        <v>24457.15</v>
      </c>
      <c r="D802" s="3" t="n">
        <v>1574.5</v>
      </c>
      <c r="E802" s="3" t="n">
        <v>1552.59</v>
      </c>
      <c r="F802" s="4">
        <f>C802/C801-1</f>
        <v/>
      </c>
      <c r="G802" s="4">
        <f>E802/E801-1</f>
        <v/>
      </c>
    </row>
    <row r="803">
      <c r="A803" s="2" t="n">
        <v>45630</v>
      </c>
      <c r="B803" s="3" t="n">
        <v>24467.45</v>
      </c>
      <c r="C803" s="3" t="n">
        <v>24467.45</v>
      </c>
      <c r="D803" s="3" t="n">
        <v>1602.38</v>
      </c>
      <c r="E803" s="3" t="n">
        <v>1580.08</v>
      </c>
      <c r="F803" s="4">
        <f>C803/C802-1</f>
        <v/>
      </c>
      <c r="G803" s="4">
        <f>E803/E802-1</f>
        <v/>
      </c>
    </row>
    <row r="804">
      <c r="A804" s="2" t="n">
        <v>45631</v>
      </c>
      <c r="B804" s="3" t="n">
        <v>24708.4</v>
      </c>
      <c r="C804" s="3" t="n">
        <v>24708.4</v>
      </c>
      <c r="D804" s="3" t="n">
        <v>1595.97</v>
      </c>
      <c r="E804" s="3" t="n">
        <v>1573.76</v>
      </c>
      <c r="F804" s="4">
        <f>C804/C803-1</f>
        <v/>
      </c>
      <c r="G804" s="4">
        <f>E804/E803-1</f>
        <v/>
      </c>
    </row>
    <row r="805">
      <c r="A805" s="2" t="n">
        <v>45632</v>
      </c>
      <c r="B805" s="3" t="n">
        <v>24677.8</v>
      </c>
      <c r="C805" s="3" t="n">
        <v>24677.8</v>
      </c>
      <c r="D805" s="3" t="n">
        <v>1581.12</v>
      </c>
      <c r="E805" s="3" t="n">
        <v>1559.12</v>
      </c>
      <c r="F805" s="4">
        <f>C805/C804-1</f>
        <v/>
      </c>
      <c r="G805" s="4">
        <f>E805/E804-1</f>
        <v/>
      </c>
    </row>
    <row r="806">
      <c r="A806" s="2" t="n">
        <v>45635</v>
      </c>
      <c r="B806" s="3" t="n">
        <v>24619</v>
      </c>
      <c r="C806" s="3" t="n">
        <v>24619</v>
      </c>
      <c r="D806" s="3" t="n">
        <v>1580.38</v>
      </c>
      <c r="E806" s="3" t="n">
        <v>1558.38</v>
      </c>
      <c r="F806" s="4">
        <f>C806/C805-1</f>
        <v/>
      </c>
      <c r="G806" s="4">
        <f>E806/E805-1</f>
        <v/>
      </c>
    </row>
    <row r="807">
      <c r="A807" s="2" t="n">
        <v>45636</v>
      </c>
      <c r="B807" s="3" t="n">
        <v>24610.05</v>
      </c>
      <c r="C807" s="3" t="n">
        <v>24610.05</v>
      </c>
      <c r="D807" s="3" t="n">
        <v>1606.57</v>
      </c>
      <c r="E807" s="3" t="n">
        <v>1584.22</v>
      </c>
      <c r="F807" s="4">
        <f>C807/C806-1</f>
        <v/>
      </c>
      <c r="G807" s="4">
        <f>E807/E806-1</f>
        <v/>
      </c>
    </row>
    <row r="808">
      <c r="A808" s="2" t="n">
        <v>45637</v>
      </c>
      <c r="B808" s="3" t="n">
        <v>24641.8</v>
      </c>
      <c r="C808" s="3" t="n">
        <v>24641.8</v>
      </c>
      <c r="D808" s="3" t="n">
        <v>1595.6</v>
      </c>
      <c r="E808" s="3" t="n">
        <v>1573.4</v>
      </c>
      <c r="F808" s="4">
        <f>C808/C807-1</f>
        <v/>
      </c>
      <c r="G808" s="4">
        <f>E808/E807-1</f>
        <v/>
      </c>
    </row>
    <row r="809">
      <c r="A809" s="2" t="n">
        <v>45638</v>
      </c>
      <c r="B809" s="3" t="n">
        <v>24548.7</v>
      </c>
      <c r="C809" s="3" t="n">
        <v>24548.7</v>
      </c>
      <c r="D809" s="3" t="n">
        <v>1595.05</v>
      </c>
      <c r="E809" s="3" t="n">
        <v>1572.85</v>
      </c>
      <c r="F809" s="4">
        <f>C809/C808-1</f>
        <v/>
      </c>
      <c r="G809" s="4">
        <f>E809/E808-1</f>
        <v/>
      </c>
    </row>
    <row r="810">
      <c r="A810" s="2" t="n">
        <v>45639</v>
      </c>
      <c r="B810" s="3" t="n">
        <v>24768.3</v>
      </c>
      <c r="C810" s="3" t="n">
        <v>24768.3</v>
      </c>
      <c r="D810" s="3" t="n">
        <v>1592.6</v>
      </c>
      <c r="E810" s="3" t="n">
        <v>1570.44</v>
      </c>
      <c r="F810" s="4">
        <f>C810/C809-1</f>
        <v/>
      </c>
      <c r="G810" s="4">
        <f>E810/E809-1</f>
        <v/>
      </c>
    </row>
    <row r="811">
      <c r="A811" s="2" t="n">
        <v>45642</v>
      </c>
      <c r="B811" s="3" t="n">
        <v>24668.25</v>
      </c>
      <c r="C811" s="3" t="n">
        <v>24668.25</v>
      </c>
      <c r="D811" s="3" t="n">
        <v>1596.93</v>
      </c>
      <c r="E811" s="3" t="n">
        <v>1574.7</v>
      </c>
      <c r="F811" s="4">
        <f>C811/C810-1</f>
        <v/>
      </c>
      <c r="G811" s="4">
        <f>E811/E810-1</f>
        <v/>
      </c>
    </row>
    <row r="812">
      <c r="A812" s="2" t="n">
        <v>45643</v>
      </c>
      <c r="B812" s="3" t="n">
        <v>24336</v>
      </c>
      <c r="C812" s="3" t="n">
        <v>24336</v>
      </c>
      <c r="D812" s="3" t="n">
        <v>1540.68</v>
      </c>
      <c r="E812" s="3" t="n">
        <v>1519.23</v>
      </c>
      <c r="F812" s="4">
        <f>C812/C811-1</f>
        <v/>
      </c>
      <c r="G812" s="4">
        <f>E812/E811-1</f>
        <v/>
      </c>
    </row>
    <row r="813">
      <c r="A813" s="2" t="n">
        <v>45644</v>
      </c>
      <c r="B813" s="3" t="n">
        <v>24198.85</v>
      </c>
      <c r="C813" s="3" t="n">
        <v>24198.85</v>
      </c>
      <c r="D813" s="3" t="n">
        <v>1528.82</v>
      </c>
      <c r="E813" s="3" t="n">
        <v>1507.55</v>
      </c>
      <c r="F813" s="4">
        <f>C813/C812-1</f>
        <v/>
      </c>
      <c r="G813" s="4">
        <f>E813/E812-1</f>
        <v/>
      </c>
    </row>
    <row r="814">
      <c r="A814" s="2" t="n">
        <v>45645</v>
      </c>
      <c r="B814" s="3" t="n">
        <v>23951.7</v>
      </c>
      <c r="C814" s="3" t="n">
        <v>23951.7</v>
      </c>
      <c r="D814" s="3" t="n">
        <v>1494.5</v>
      </c>
      <c r="E814" s="3" t="n">
        <v>1473.7</v>
      </c>
      <c r="F814" s="4">
        <f>C814/C813-1</f>
        <v/>
      </c>
      <c r="G814" s="4">
        <f>E814/E813-1</f>
        <v/>
      </c>
    </row>
    <row r="815">
      <c r="A815" s="2" t="n">
        <v>45646</v>
      </c>
      <c r="B815" s="3" t="n">
        <v>23587.5</v>
      </c>
      <c r="C815" s="3" t="n">
        <v>23587.5</v>
      </c>
      <c r="D815" s="3" t="n">
        <v>1488.4</v>
      </c>
      <c r="E815" s="3" t="n">
        <v>1467.69</v>
      </c>
      <c r="F815" s="4">
        <f>C815/C814-1</f>
        <v/>
      </c>
      <c r="G815" s="4">
        <f>E815/E814-1</f>
        <v/>
      </c>
    </row>
    <row r="816">
      <c r="A816" s="2" t="n">
        <v>45649</v>
      </c>
      <c r="B816" s="3" t="n">
        <v>23753.45</v>
      </c>
      <c r="C816" s="3" t="n">
        <v>23753.45</v>
      </c>
      <c r="D816" s="3" t="n">
        <v>1475.9</v>
      </c>
      <c r="E816" s="3" t="n">
        <v>1455.36</v>
      </c>
      <c r="F816" s="4">
        <f>C816/C815-1</f>
        <v/>
      </c>
      <c r="G816" s="4">
        <f>E816/E815-1</f>
        <v/>
      </c>
    </row>
    <row r="817">
      <c r="A817" s="2" t="n">
        <v>45650</v>
      </c>
      <c r="B817" s="3" t="n">
        <v>23727.65</v>
      </c>
      <c r="C817" s="3" t="n">
        <v>23727.65</v>
      </c>
      <c r="D817" s="3" t="n">
        <v>1484.95</v>
      </c>
      <c r="E817" s="3" t="n">
        <v>1464.28</v>
      </c>
      <c r="F817" s="4">
        <f>C817/C816-1</f>
        <v/>
      </c>
      <c r="G817" s="4">
        <f>E817/E816-1</f>
        <v/>
      </c>
    </row>
    <row r="818">
      <c r="A818" s="2" t="n">
        <v>45652</v>
      </c>
      <c r="B818" s="3" t="n">
        <v>23750.2</v>
      </c>
      <c r="C818" s="3" t="n">
        <v>23750.2</v>
      </c>
      <c r="D818" s="3" t="n">
        <v>1466.22</v>
      </c>
      <c r="E818" s="3" t="n">
        <v>1445.82</v>
      </c>
      <c r="F818" s="4">
        <f>C818/C817-1</f>
        <v/>
      </c>
      <c r="G818" s="4">
        <f>E818/E817-1</f>
        <v/>
      </c>
    </row>
    <row r="819">
      <c r="A819" s="2" t="n">
        <v>45653</v>
      </c>
      <c r="B819" s="3" t="n">
        <v>23813.4</v>
      </c>
      <c r="C819" s="3" t="n">
        <v>23813.4</v>
      </c>
      <c r="D819" s="3" t="n">
        <v>1457.2</v>
      </c>
      <c r="E819" s="3" t="n">
        <v>1436.92</v>
      </c>
      <c r="F819" s="4">
        <f>C819/C818-1</f>
        <v/>
      </c>
      <c r="G819" s="4">
        <f>E819/E818-1</f>
        <v/>
      </c>
    </row>
    <row r="820">
      <c r="A820" s="2" t="n">
        <v>45656</v>
      </c>
      <c r="B820" s="3" t="n">
        <v>23644.9</v>
      </c>
      <c r="C820" s="3" t="n">
        <v>23644.9</v>
      </c>
      <c r="D820" s="3" t="n">
        <v>1455.28</v>
      </c>
      <c r="E820" s="3" t="n">
        <v>1435.02</v>
      </c>
      <c r="F820" s="4">
        <f>C820/C819-1</f>
        <v/>
      </c>
      <c r="G820" s="4">
        <f>E820/E819-1</f>
        <v/>
      </c>
    </row>
    <row r="821">
      <c r="A821" s="2" t="n">
        <v>45657</v>
      </c>
      <c r="B821" s="3" t="n">
        <v>23644.8</v>
      </c>
      <c r="C821" s="3" t="n">
        <v>23644.8</v>
      </c>
      <c r="D821" s="3" t="n">
        <v>1452.12</v>
      </c>
      <c r="E821" s="3" t="n">
        <v>1431.92</v>
      </c>
      <c r="F821" s="4">
        <f>C821/C820-1</f>
        <v/>
      </c>
      <c r="G821" s="4">
        <f>E821/E820-1</f>
        <v/>
      </c>
    </row>
    <row r="822">
      <c r="A822" s="2" t="n">
        <v>45658</v>
      </c>
      <c r="B822" s="3" t="n">
        <v>23742.9</v>
      </c>
      <c r="C822" s="3" t="n">
        <v>23742.9</v>
      </c>
      <c r="D822" s="3" t="n">
        <v>1431.85</v>
      </c>
      <c r="E822" s="3" t="n">
        <v>1411.92</v>
      </c>
      <c r="F822" s="4">
        <f>C822/C821-1</f>
        <v/>
      </c>
      <c r="G822" s="4">
        <f>E822/E821-1</f>
        <v/>
      </c>
    </row>
    <row r="823">
      <c r="A823" s="2" t="n">
        <v>45659</v>
      </c>
      <c r="B823" s="3" t="n">
        <v>24188.65</v>
      </c>
      <c r="C823" s="3" t="n">
        <v>24188.65</v>
      </c>
      <c r="D823" s="3" t="n">
        <v>1463.32</v>
      </c>
      <c r="E823" s="3" t="n">
        <v>1442.96</v>
      </c>
      <c r="F823" s="4">
        <f>C823/C822-1</f>
        <v/>
      </c>
      <c r="G823" s="4">
        <f>E823/E822-1</f>
        <v/>
      </c>
    </row>
    <row r="824">
      <c r="A824" s="2" t="n">
        <v>45660</v>
      </c>
      <c r="B824" s="3" t="n">
        <v>24004.75</v>
      </c>
      <c r="C824" s="3" t="n">
        <v>24004.75</v>
      </c>
      <c r="D824" s="3" t="n">
        <v>1466.18</v>
      </c>
      <c r="E824" s="3" t="n">
        <v>1445.77</v>
      </c>
      <c r="F824" s="4">
        <f>C824/C823-1</f>
        <v/>
      </c>
      <c r="G824" s="4">
        <f>E824/E823-1</f>
        <v/>
      </c>
    </row>
    <row r="825">
      <c r="A825" s="2" t="n">
        <v>45663</v>
      </c>
      <c r="B825" s="3" t="n">
        <v>23616.05</v>
      </c>
      <c r="C825" s="3" t="n">
        <v>23616.05</v>
      </c>
      <c r="D825" s="3" t="n">
        <v>1447.38</v>
      </c>
      <c r="E825" s="3" t="n">
        <v>1427.23</v>
      </c>
      <c r="F825" s="4">
        <f>C825/C824-1</f>
        <v/>
      </c>
      <c r="G825" s="4">
        <f>E825/E824-1</f>
        <v/>
      </c>
    </row>
    <row r="826">
      <c r="A826" s="2" t="n">
        <v>45664</v>
      </c>
      <c r="B826" s="3" t="n">
        <v>23707.9</v>
      </c>
      <c r="C826" s="3" t="n">
        <v>23707.9</v>
      </c>
      <c r="D826" s="3" t="n">
        <v>1463.8</v>
      </c>
      <c r="E826" s="3" t="n">
        <v>1443.43</v>
      </c>
      <c r="F826" s="4">
        <f>C826/C825-1</f>
        <v/>
      </c>
      <c r="G826" s="4">
        <f>E826/E825-1</f>
        <v/>
      </c>
    </row>
    <row r="827">
      <c r="A827" s="2" t="n">
        <v>45665</v>
      </c>
      <c r="B827" s="3" t="n">
        <v>23688.95</v>
      </c>
      <c r="C827" s="3" t="n">
        <v>23688.95</v>
      </c>
      <c r="D827" s="3" t="n">
        <v>1454</v>
      </c>
      <c r="E827" s="3" t="n">
        <v>1433.77</v>
      </c>
      <c r="F827" s="4">
        <f>C827/C826-1</f>
        <v/>
      </c>
      <c r="G827" s="4">
        <f>E827/E826-1</f>
        <v/>
      </c>
    </row>
    <row r="828">
      <c r="A828" s="2" t="n">
        <v>45666</v>
      </c>
      <c r="B828" s="3" t="n">
        <v>23526.5</v>
      </c>
      <c r="C828" s="3" t="n">
        <v>23526.5</v>
      </c>
      <c r="D828" s="3" t="n">
        <v>1479.12</v>
      </c>
      <c r="E828" s="3" t="n">
        <v>1458.54</v>
      </c>
      <c r="F828" s="4">
        <f>C828/C827-1</f>
        <v/>
      </c>
      <c r="G828" s="4">
        <f>E828/E827-1</f>
        <v/>
      </c>
    </row>
    <row r="829">
      <c r="A829" s="2" t="n">
        <v>45667</v>
      </c>
      <c r="B829" s="3" t="n">
        <v>23431.5</v>
      </c>
      <c r="C829" s="3" t="n">
        <v>23431.5</v>
      </c>
      <c r="D829" s="3" t="n">
        <v>1450.68</v>
      </c>
      <c r="E829" s="3" t="n">
        <v>1430.49</v>
      </c>
      <c r="F829" s="4">
        <f>C829/C828-1</f>
        <v/>
      </c>
      <c r="G829" s="4">
        <f>E829/E828-1</f>
        <v/>
      </c>
    </row>
    <row r="830">
      <c r="A830" s="2" t="n">
        <v>45670</v>
      </c>
      <c r="B830" s="3" t="n">
        <v>23085.95</v>
      </c>
      <c r="C830" s="3" t="n">
        <v>23085.95</v>
      </c>
      <c r="D830" s="3" t="n">
        <v>1398.35</v>
      </c>
      <c r="E830" s="3" t="n">
        <v>1378.89</v>
      </c>
      <c r="F830" s="4">
        <f>C830/C829-1</f>
        <v/>
      </c>
      <c r="G830" s="4">
        <f>E830/E829-1</f>
        <v/>
      </c>
    </row>
    <row r="831">
      <c r="A831" s="2" t="n">
        <v>45671</v>
      </c>
      <c r="B831" s="3" t="n">
        <v>23176.05</v>
      </c>
      <c r="C831" s="3" t="n">
        <v>23176.05</v>
      </c>
      <c r="D831" s="3" t="n">
        <v>1404.47</v>
      </c>
      <c r="E831" s="3" t="n">
        <v>1384.93</v>
      </c>
      <c r="F831" s="4">
        <f>C831/C830-1</f>
        <v/>
      </c>
      <c r="G831" s="4">
        <f>E831/E830-1</f>
        <v/>
      </c>
    </row>
    <row r="832">
      <c r="A832" s="2" t="n">
        <v>45672</v>
      </c>
      <c r="B832" s="3" t="n">
        <v>23213.2</v>
      </c>
      <c r="C832" s="3" t="n">
        <v>23213.2</v>
      </c>
      <c r="D832" s="3" t="n">
        <v>1401.38</v>
      </c>
      <c r="E832" s="3" t="n">
        <v>1381.87</v>
      </c>
      <c r="F832" s="4">
        <f>C832/C831-1</f>
        <v/>
      </c>
      <c r="G832" s="4">
        <f>E832/E831-1</f>
        <v/>
      </c>
    </row>
    <row r="833">
      <c r="A833" s="2" t="n">
        <v>45673</v>
      </c>
      <c r="B833" s="3" t="n">
        <v>23311.8</v>
      </c>
      <c r="C833" s="3" t="n">
        <v>23311.8</v>
      </c>
      <c r="D833" s="3" t="n">
        <v>1392.5</v>
      </c>
      <c r="E833" s="3" t="n">
        <v>1373.12</v>
      </c>
      <c r="F833" s="4">
        <f>C833/C832-1</f>
        <v/>
      </c>
      <c r="G833" s="4">
        <f>E833/E832-1</f>
        <v/>
      </c>
    </row>
    <row r="834">
      <c r="A834" s="2" t="n">
        <v>45674</v>
      </c>
      <c r="B834" s="3" t="n">
        <v>23203.2</v>
      </c>
      <c r="C834" s="3" t="n">
        <v>23203.2</v>
      </c>
      <c r="D834" s="3" t="n">
        <v>1406.68</v>
      </c>
      <c r="E834" s="3" t="n">
        <v>1387.1</v>
      </c>
      <c r="F834" s="4">
        <f>C834/C833-1</f>
        <v/>
      </c>
      <c r="G834" s="4">
        <f>E834/E833-1</f>
        <v/>
      </c>
    </row>
    <row r="835">
      <c r="A835" s="2" t="n">
        <v>45677</v>
      </c>
      <c r="B835" s="3" t="n">
        <v>23344.75</v>
      </c>
      <c r="C835" s="3" t="n">
        <v>23344.75</v>
      </c>
      <c r="D835" s="3" t="n">
        <v>1393.88</v>
      </c>
      <c r="E835" s="3" t="n">
        <v>1374.48</v>
      </c>
      <c r="F835" s="4">
        <f>C835/C834-1</f>
        <v/>
      </c>
      <c r="G835" s="4">
        <f>E835/E834-1</f>
        <v/>
      </c>
    </row>
    <row r="836">
      <c r="A836" s="2" t="n">
        <v>45678</v>
      </c>
      <c r="B836" s="3" t="n">
        <v>23024.65</v>
      </c>
      <c r="C836" s="3" t="n">
        <v>23024.65</v>
      </c>
      <c r="D836" s="3" t="n">
        <v>1374.85</v>
      </c>
      <c r="E836" s="3" t="n">
        <v>1355.72</v>
      </c>
      <c r="F836" s="4">
        <f>C836/C835-1</f>
        <v/>
      </c>
      <c r="G836" s="4">
        <f>E836/E835-1</f>
        <v/>
      </c>
    </row>
    <row r="837">
      <c r="A837" s="2" t="n">
        <v>45679</v>
      </c>
      <c r="B837" s="3" t="n">
        <v>23155.35</v>
      </c>
      <c r="C837" s="3" t="n">
        <v>23155.35</v>
      </c>
      <c r="D837" s="3" t="n">
        <v>1377.38</v>
      </c>
      <c r="E837" s="3" t="n">
        <v>1358.21</v>
      </c>
      <c r="F837" s="4">
        <f>C837/C836-1</f>
        <v/>
      </c>
      <c r="G837" s="4">
        <f>E837/E836-1</f>
        <v/>
      </c>
    </row>
    <row r="838">
      <c r="A838" s="2" t="n">
        <v>45680</v>
      </c>
      <c r="B838" s="3" t="n">
        <v>23205.35</v>
      </c>
      <c r="C838" s="3" t="n">
        <v>23205.35</v>
      </c>
      <c r="D838" s="3" t="n">
        <v>1454.82</v>
      </c>
      <c r="E838" s="3" t="n">
        <v>1434.58</v>
      </c>
      <c r="F838" s="4">
        <f>C838/C837-1</f>
        <v/>
      </c>
      <c r="G838" s="4">
        <f>E838/E837-1</f>
        <v/>
      </c>
    </row>
    <row r="839">
      <c r="A839" s="2" t="n">
        <v>45681</v>
      </c>
      <c r="B839" s="3" t="n">
        <v>23092.2</v>
      </c>
      <c r="C839" s="3" t="n">
        <v>23092.2</v>
      </c>
      <c r="D839" s="3" t="n">
        <v>1427.28</v>
      </c>
      <c r="E839" s="3" t="n">
        <v>1407.41</v>
      </c>
      <c r="F839" s="4">
        <f>C839/C838-1</f>
        <v/>
      </c>
      <c r="G839" s="4">
        <f>E839/E838-1</f>
        <v/>
      </c>
    </row>
    <row r="840">
      <c r="A840" s="2" t="n">
        <v>45684</v>
      </c>
      <c r="B840" s="3" t="n">
        <v>22829.15</v>
      </c>
      <c r="C840" s="3" t="n">
        <v>22829.15</v>
      </c>
      <c r="D840" s="3" t="n">
        <v>1433.5</v>
      </c>
      <c r="E840" s="3" t="n">
        <v>1413.55</v>
      </c>
      <c r="F840" s="4">
        <f>C840/C839-1</f>
        <v/>
      </c>
      <c r="G840" s="4">
        <f>E840/E839-1</f>
        <v/>
      </c>
    </row>
    <row r="841">
      <c r="A841" s="2" t="n">
        <v>45685</v>
      </c>
      <c r="B841" s="3" t="n">
        <v>22957.25</v>
      </c>
      <c r="C841" s="3" t="n">
        <v>22957.25</v>
      </c>
      <c r="D841" s="3" t="n">
        <v>1432.05</v>
      </c>
      <c r="E841" s="3" t="n">
        <v>1412.12</v>
      </c>
      <c r="F841" s="4">
        <f>C841/C840-1</f>
        <v/>
      </c>
      <c r="G841" s="4">
        <f>E841/E840-1</f>
        <v/>
      </c>
    </row>
    <row r="842">
      <c r="A842" s="2" t="n">
        <v>45686</v>
      </c>
      <c r="B842" s="3" t="n">
        <v>23163.1</v>
      </c>
      <c r="C842" s="3" t="n">
        <v>23163.1</v>
      </c>
      <c r="D842" s="3" t="n">
        <v>1445.53</v>
      </c>
      <c r="E842" s="3" t="n">
        <v>1425.41</v>
      </c>
      <c r="F842" s="4">
        <f>C842/C841-1</f>
        <v/>
      </c>
      <c r="G842" s="4">
        <f>E842/E841-1</f>
        <v/>
      </c>
    </row>
    <row r="843">
      <c r="A843" s="2" t="n">
        <v>45687</v>
      </c>
      <c r="B843" s="3" t="n">
        <v>23249.5</v>
      </c>
      <c r="C843" s="3" t="n">
        <v>23249.5</v>
      </c>
      <c r="D843" s="3" t="n">
        <v>1443.28</v>
      </c>
      <c r="E843" s="3" t="n">
        <v>1423.19</v>
      </c>
      <c r="F843" s="4">
        <f>C843/C842-1</f>
        <v/>
      </c>
      <c r="G843" s="4">
        <f>E843/E842-1</f>
        <v/>
      </c>
    </row>
    <row r="844">
      <c r="A844" s="2" t="n">
        <v>45688</v>
      </c>
      <c r="B844" s="3" t="n">
        <v>23508.4</v>
      </c>
      <c r="C844" s="3" t="n">
        <v>23508.4</v>
      </c>
      <c r="D844" s="3" t="n">
        <v>1435.85</v>
      </c>
      <c r="E844" s="3" t="n">
        <v>1415.87</v>
      </c>
      <c r="F844" s="4">
        <f>C844/C843-1</f>
        <v/>
      </c>
      <c r="G844" s="4">
        <f>E844/E843-1</f>
        <v/>
      </c>
    </row>
    <row r="845">
      <c r="A845" s="2" t="n">
        <v>45689</v>
      </c>
      <c r="B845" s="3" t="n">
        <v>23482.15</v>
      </c>
      <c r="C845" s="3" t="n">
        <v>23482.15</v>
      </c>
      <c r="D845" s="3" t="n">
        <v>1473.62</v>
      </c>
      <c r="E845" s="3" t="n">
        <v>1453.12</v>
      </c>
      <c r="F845" s="4">
        <f>C845/C844-1</f>
        <v/>
      </c>
      <c r="G845" s="4">
        <f>E845/E844-1</f>
        <v/>
      </c>
    </row>
    <row r="846">
      <c r="A846" s="2" t="n">
        <v>45691</v>
      </c>
      <c r="B846" s="3" t="n">
        <v>23361.05</v>
      </c>
      <c r="C846" s="3" t="n">
        <v>23361.05</v>
      </c>
      <c r="D846" s="3" t="n">
        <v>1480.38</v>
      </c>
      <c r="E846" s="3" t="n">
        <v>1459.77</v>
      </c>
      <c r="F846" s="4">
        <f>C846/C845-1</f>
        <v/>
      </c>
      <c r="G846" s="4">
        <f>E846/E845-1</f>
        <v/>
      </c>
    </row>
    <row r="847">
      <c r="A847" s="2" t="n">
        <v>45692</v>
      </c>
      <c r="B847" s="3" t="n">
        <v>23739.25</v>
      </c>
      <c r="C847" s="3" t="n">
        <v>23739.25</v>
      </c>
      <c r="D847" s="3" t="n">
        <v>1463.47</v>
      </c>
      <c r="E847" s="3" t="n">
        <v>1443.11</v>
      </c>
      <c r="F847" s="4">
        <f>C847/C846-1</f>
        <v/>
      </c>
      <c r="G847" s="4">
        <f>E847/E846-1</f>
        <v/>
      </c>
    </row>
    <row r="848">
      <c r="A848" s="2" t="n">
        <v>45693</v>
      </c>
      <c r="B848" s="3" t="n">
        <v>23696.3</v>
      </c>
      <c r="C848" s="3" t="n">
        <v>23696.3</v>
      </c>
      <c r="D848" s="3" t="n">
        <v>1444.6</v>
      </c>
      <c r="E848" s="3" t="n">
        <v>1424.5</v>
      </c>
      <c r="F848" s="4">
        <f>C848/C847-1</f>
        <v/>
      </c>
      <c r="G848" s="4">
        <f>E848/E847-1</f>
        <v/>
      </c>
    </row>
    <row r="849">
      <c r="A849" s="2" t="n">
        <v>45694</v>
      </c>
      <c r="B849" s="3" t="n">
        <v>23603.35</v>
      </c>
      <c r="C849" s="3" t="n">
        <v>23603.35</v>
      </c>
      <c r="D849" s="3" t="n">
        <v>1449.78</v>
      </c>
      <c r="E849" s="3" t="n">
        <v>1429.6</v>
      </c>
      <c r="F849" s="4">
        <f>C849/C848-1</f>
        <v/>
      </c>
      <c r="G849" s="4">
        <f>E849/E848-1</f>
        <v/>
      </c>
    </row>
    <row r="850">
      <c r="A850" s="2" t="n">
        <v>45695</v>
      </c>
      <c r="B850" s="3" t="n">
        <v>23559.95</v>
      </c>
      <c r="C850" s="3" t="n">
        <v>23559.95</v>
      </c>
      <c r="D850" s="3" t="n">
        <v>1435.3</v>
      </c>
      <c r="E850" s="3" t="n">
        <v>1415.33</v>
      </c>
      <c r="F850" s="4">
        <f>C850/C849-1</f>
        <v/>
      </c>
      <c r="G850" s="4">
        <f>E850/E849-1</f>
        <v/>
      </c>
    </row>
    <row r="851">
      <c r="A851" s="2" t="n">
        <v>45698</v>
      </c>
      <c r="B851" s="3" t="n">
        <v>23381.6</v>
      </c>
      <c r="C851" s="3" t="n">
        <v>23381.6</v>
      </c>
      <c r="D851" s="3" t="n">
        <v>1434.03</v>
      </c>
      <c r="E851" s="3" t="n">
        <v>1414.07</v>
      </c>
      <c r="F851" s="4">
        <f>C851/C850-1</f>
        <v/>
      </c>
      <c r="G851" s="4">
        <f>E851/E850-1</f>
        <v/>
      </c>
    </row>
    <row r="852">
      <c r="A852" s="2" t="n">
        <v>45699</v>
      </c>
      <c r="B852" s="3" t="n">
        <v>23071.8</v>
      </c>
      <c r="C852" s="3" t="n">
        <v>23071.8</v>
      </c>
      <c r="D852" s="3" t="n">
        <v>1425.53</v>
      </c>
      <c r="E852" s="3" t="n">
        <v>1405.69</v>
      </c>
      <c r="F852" s="4">
        <f>C852/C851-1</f>
        <v/>
      </c>
      <c r="G852" s="4">
        <f>E852/E851-1</f>
        <v/>
      </c>
    </row>
    <row r="853">
      <c r="A853" s="2" t="n">
        <v>45700</v>
      </c>
      <c r="B853" s="3" t="n">
        <v>23045.25</v>
      </c>
      <c r="C853" s="3" t="n">
        <v>23045.25</v>
      </c>
      <c r="D853" s="3" t="n">
        <v>1414.25</v>
      </c>
      <c r="E853" s="3" t="n">
        <v>1394.57</v>
      </c>
      <c r="F853" s="4">
        <f>C853/C852-1</f>
        <v/>
      </c>
      <c r="G853" s="4">
        <f>E853/E852-1</f>
        <v/>
      </c>
    </row>
    <row r="854">
      <c r="A854" s="2" t="n">
        <v>45701</v>
      </c>
      <c r="B854" s="3" t="n">
        <v>23031.4</v>
      </c>
      <c r="C854" s="3" t="n">
        <v>23031.4</v>
      </c>
      <c r="D854" s="3" t="n">
        <v>1409.05</v>
      </c>
      <c r="E854" s="3" t="n">
        <v>1389.44</v>
      </c>
      <c r="F854" s="4">
        <f>C854/C853-1</f>
        <v/>
      </c>
      <c r="G854" s="4">
        <f>E854/E853-1</f>
        <v/>
      </c>
    </row>
    <row r="855">
      <c r="A855" s="2" t="n">
        <v>45702</v>
      </c>
      <c r="B855" s="3" t="n">
        <v>22929.25</v>
      </c>
      <c r="C855" s="3" t="n">
        <v>22929.25</v>
      </c>
      <c r="D855" s="3" t="n">
        <v>1403.1</v>
      </c>
      <c r="E855" s="3" t="n">
        <v>1383.57</v>
      </c>
      <c r="F855" s="4">
        <f>C855/C854-1</f>
        <v/>
      </c>
      <c r="G855" s="4">
        <f>E855/E854-1</f>
        <v/>
      </c>
    </row>
    <row r="856">
      <c r="A856" s="2" t="n">
        <v>45705</v>
      </c>
      <c r="B856" s="3" t="n">
        <v>22959.5</v>
      </c>
      <c r="C856" s="3" t="n">
        <v>22959.5</v>
      </c>
      <c r="D856" s="3" t="n">
        <v>1390.85</v>
      </c>
      <c r="E856" s="3" t="n">
        <v>1371.49</v>
      </c>
      <c r="F856" s="4">
        <f>C856/C855-1</f>
        <v/>
      </c>
      <c r="G856" s="4">
        <f>E856/E855-1</f>
        <v/>
      </c>
    </row>
    <row r="857">
      <c r="A857" s="2" t="n">
        <v>45706</v>
      </c>
      <c r="B857" s="3" t="n">
        <v>22945.3</v>
      </c>
      <c r="C857" s="3" t="n">
        <v>22945.3</v>
      </c>
      <c r="D857" s="3" t="n">
        <v>1383.28</v>
      </c>
      <c r="E857" s="3" t="n">
        <v>1364.03</v>
      </c>
      <c r="F857" s="4">
        <f>C857/C856-1</f>
        <v/>
      </c>
      <c r="G857" s="4">
        <f>E857/E856-1</f>
        <v/>
      </c>
    </row>
    <row r="858">
      <c r="A858" s="2" t="n">
        <v>45707</v>
      </c>
      <c r="B858" s="3" t="n">
        <v>22932.9</v>
      </c>
      <c r="C858" s="3" t="n">
        <v>22932.9</v>
      </c>
      <c r="D858" s="3" t="n">
        <v>1384.35</v>
      </c>
      <c r="E858" s="3" t="n">
        <v>1365.08</v>
      </c>
      <c r="F858" s="4">
        <f>C858/C857-1</f>
        <v/>
      </c>
      <c r="G858" s="4">
        <f>E858/E857-1</f>
        <v/>
      </c>
    </row>
    <row r="859">
      <c r="A859" s="2" t="n">
        <v>45708</v>
      </c>
      <c r="B859" s="3" t="n">
        <v>22913.15</v>
      </c>
      <c r="C859" s="3" t="n">
        <v>22913.15</v>
      </c>
      <c r="D859" s="3" t="n">
        <v>1410.75</v>
      </c>
      <c r="E859" s="3" t="n">
        <v>1391.12</v>
      </c>
      <c r="F859" s="4">
        <f>C859/C858-1</f>
        <v/>
      </c>
      <c r="G859" s="4">
        <f>E859/E858-1</f>
        <v/>
      </c>
    </row>
    <row r="860">
      <c r="A860" s="2" t="n">
        <v>45709</v>
      </c>
      <c r="B860" s="3" t="n">
        <v>22795.9</v>
      </c>
      <c r="C860" s="3" t="n">
        <v>22795.9</v>
      </c>
      <c r="D860" s="3" t="n">
        <v>1397.85</v>
      </c>
      <c r="E860" s="3" t="n">
        <v>1378.4</v>
      </c>
      <c r="F860" s="4">
        <f>C860/C859-1</f>
        <v/>
      </c>
      <c r="G860" s="4">
        <f>E860/E859-1</f>
        <v/>
      </c>
    </row>
    <row r="861">
      <c r="A861" s="2" t="n">
        <v>45712</v>
      </c>
      <c r="B861" s="3" t="n">
        <v>22553.35</v>
      </c>
      <c r="C861" s="3" t="n">
        <v>22553.35</v>
      </c>
      <c r="D861" s="3" t="n">
        <v>1380.9</v>
      </c>
      <c r="E861" s="3" t="n">
        <v>1361.68</v>
      </c>
      <c r="F861" s="4">
        <f>C861/C860-1</f>
        <v/>
      </c>
      <c r="G861" s="4">
        <f>E861/E860-1</f>
        <v/>
      </c>
    </row>
    <row r="862">
      <c r="A862" s="2" t="n">
        <v>45713</v>
      </c>
      <c r="B862" s="3" t="n">
        <v>22547.55</v>
      </c>
      <c r="C862" s="3" t="n">
        <v>22547.55</v>
      </c>
      <c r="D862" s="3" t="n">
        <v>1348.25</v>
      </c>
      <c r="E862" s="3" t="n">
        <v>1329.49</v>
      </c>
      <c r="F862" s="4">
        <f>C862/C861-1</f>
        <v/>
      </c>
      <c r="G862" s="4">
        <f>E862/E861-1</f>
        <v/>
      </c>
    </row>
    <row r="863">
      <c r="A863" s="2" t="n">
        <v>45715</v>
      </c>
      <c r="B863" s="3" t="n">
        <v>22545.05</v>
      </c>
      <c r="C863" s="3" t="n">
        <v>22545.05</v>
      </c>
      <c r="D863" s="3" t="n">
        <v>1338.55</v>
      </c>
      <c r="E863" s="3" t="n">
        <v>1319.92</v>
      </c>
      <c r="F863" s="4">
        <f>C863/C862-1</f>
        <v/>
      </c>
      <c r="G863" s="4">
        <f>E863/E862-1</f>
        <v/>
      </c>
    </row>
    <row r="864">
      <c r="A864" s="2" t="n">
        <v>45716</v>
      </c>
      <c r="B864" s="3" t="n">
        <v>22124.7</v>
      </c>
      <c r="C864" s="3" t="n">
        <v>22124.7</v>
      </c>
      <c r="D864" s="3" t="n">
        <v>1328.95</v>
      </c>
      <c r="E864" s="3" t="n">
        <v>1310.46</v>
      </c>
      <c r="F864" s="4">
        <f>C864/C863-1</f>
        <v/>
      </c>
      <c r="G864" s="4">
        <f>E864/E863-1</f>
        <v/>
      </c>
    </row>
    <row r="865">
      <c r="A865" s="2" t="n">
        <v>45719</v>
      </c>
      <c r="B865" s="3" t="n">
        <v>22119.3</v>
      </c>
      <c r="C865" s="3" t="n">
        <v>22119.3</v>
      </c>
      <c r="D865" s="3" t="n">
        <v>1340.65</v>
      </c>
      <c r="E865" s="3" t="n">
        <v>1321.99</v>
      </c>
      <c r="F865" s="4">
        <f>C865/C864-1</f>
        <v/>
      </c>
      <c r="G865" s="4">
        <f>E865/E864-1</f>
        <v/>
      </c>
    </row>
    <row r="866">
      <c r="A866" s="2" t="n">
        <v>45720</v>
      </c>
      <c r="B866" s="3" t="n">
        <v>22082.65</v>
      </c>
      <c r="C866" s="3" t="n">
        <v>22082.65</v>
      </c>
      <c r="D866" s="3" t="n">
        <v>1349.32</v>
      </c>
      <c r="E866" s="3" t="n">
        <v>1330.55</v>
      </c>
      <c r="F866" s="4">
        <f>C866/C865-1</f>
        <v/>
      </c>
      <c r="G866" s="4">
        <f>E866/E865-1</f>
        <v/>
      </c>
    </row>
    <row r="867">
      <c r="A867" s="2" t="n">
        <v>45721</v>
      </c>
      <c r="B867" s="3" t="n">
        <v>22337.3</v>
      </c>
      <c r="C867" s="3" t="n">
        <v>22337.3</v>
      </c>
      <c r="D867" s="3" t="n">
        <v>1346.47</v>
      </c>
      <c r="E867" s="3" t="n">
        <v>1327.74</v>
      </c>
      <c r="F867" s="4">
        <f>C867/C866-1</f>
        <v/>
      </c>
      <c r="G867" s="4">
        <f>E867/E866-1</f>
        <v/>
      </c>
    </row>
    <row r="868">
      <c r="A868" s="2" t="n">
        <v>45722</v>
      </c>
      <c r="B868" s="3" t="n">
        <v>22544.7</v>
      </c>
      <c r="C868" s="3" t="n">
        <v>22544.7</v>
      </c>
      <c r="D868" s="3" t="n">
        <v>1369.03</v>
      </c>
      <c r="E868" s="3" t="n">
        <v>1349.97</v>
      </c>
      <c r="F868" s="4">
        <f>C868/C867-1</f>
        <v/>
      </c>
      <c r="G868" s="4">
        <f>E868/E867-1</f>
        <v/>
      </c>
    </row>
    <row r="869">
      <c r="A869" s="2" t="n">
        <v>45723</v>
      </c>
      <c r="B869" s="3" t="n">
        <v>22552.5</v>
      </c>
      <c r="C869" s="3" t="n">
        <v>22552.5</v>
      </c>
      <c r="D869" s="3" t="n">
        <v>1375.6</v>
      </c>
      <c r="E869" s="3" t="n">
        <v>1356.46</v>
      </c>
      <c r="F869" s="4">
        <f>C869/C868-1</f>
        <v/>
      </c>
      <c r="G869" s="4">
        <f>E869/E868-1</f>
        <v/>
      </c>
    </row>
    <row r="870">
      <c r="A870" s="2" t="n">
        <v>45726</v>
      </c>
      <c r="B870" s="3" t="n">
        <v>22460.3</v>
      </c>
      <c r="C870" s="3" t="n">
        <v>22460.3</v>
      </c>
      <c r="D870" s="3" t="n">
        <v>1366.25</v>
      </c>
      <c r="E870" s="3" t="n">
        <v>1347.24</v>
      </c>
      <c r="F870" s="4">
        <f>C870/C869-1</f>
        <v/>
      </c>
      <c r="G870" s="4">
        <f>E870/E869-1</f>
        <v/>
      </c>
    </row>
    <row r="871">
      <c r="A871" s="2" t="n">
        <v>45727</v>
      </c>
      <c r="B871" s="3" t="n">
        <v>22497.9</v>
      </c>
      <c r="C871" s="3" t="n">
        <v>22497.9</v>
      </c>
      <c r="D871" s="3" t="n">
        <v>1361.15</v>
      </c>
      <c r="E871" s="3" t="n">
        <v>1342.21</v>
      </c>
      <c r="F871" s="4">
        <f>C871/C870-1</f>
        <v/>
      </c>
      <c r="G871" s="4">
        <f>E871/E870-1</f>
        <v/>
      </c>
    </row>
    <row r="872">
      <c r="A872" s="2" t="n">
        <v>45728</v>
      </c>
      <c r="B872" s="3" t="n">
        <v>22470.5</v>
      </c>
      <c r="C872" s="3" t="n">
        <v>22470.5</v>
      </c>
      <c r="D872" s="3" t="n">
        <v>1374.65</v>
      </c>
      <c r="E872" s="3" t="n">
        <v>1355.52</v>
      </c>
      <c r="F872" s="4">
        <f>C872/C871-1</f>
        <v/>
      </c>
      <c r="G872" s="4">
        <f>E872/E871-1</f>
        <v/>
      </c>
    </row>
    <row r="873">
      <c r="A873" s="2" t="n">
        <v>45729</v>
      </c>
      <c r="B873" s="3" t="n">
        <v>22397.2</v>
      </c>
      <c r="C873" s="3" t="n">
        <v>22397.2</v>
      </c>
      <c r="D873" s="3" t="n">
        <v>1364.95</v>
      </c>
      <c r="E873" s="3" t="n">
        <v>1345.95</v>
      </c>
      <c r="F873" s="4">
        <f>C873/C872-1</f>
        <v/>
      </c>
      <c r="G873" s="4">
        <f>E873/E872-1</f>
        <v/>
      </c>
    </row>
    <row r="874">
      <c r="A874" s="2" t="n">
        <v>45733</v>
      </c>
      <c r="B874" s="3" t="n">
        <v>22508.75</v>
      </c>
      <c r="C874" s="3" t="n">
        <v>22508.75</v>
      </c>
      <c r="D874" s="3" t="n">
        <v>1374.45</v>
      </c>
      <c r="E874" s="3" t="n">
        <v>1355.32</v>
      </c>
      <c r="F874" s="4">
        <f>C874/C873-1</f>
        <v/>
      </c>
      <c r="G874" s="4">
        <f>E874/E873-1</f>
        <v/>
      </c>
    </row>
    <row r="875">
      <c r="A875" s="2" t="n">
        <v>45734</v>
      </c>
      <c r="B875" s="3" t="n">
        <v>22834.3</v>
      </c>
      <c r="C875" s="3" t="n">
        <v>22834.3</v>
      </c>
      <c r="D875" s="3" t="n">
        <v>1374.45</v>
      </c>
      <c r="E875" s="3" t="n">
        <v>1355.32</v>
      </c>
      <c r="F875" s="4">
        <f>C875/C874-1</f>
        <v/>
      </c>
      <c r="G875" s="4">
        <f>E875/E874-1</f>
        <v/>
      </c>
    </row>
    <row r="876">
      <c r="A876" s="2" t="n">
        <v>45735</v>
      </c>
      <c r="B876" s="3" t="n">
        <v>22907.6</v>
      </c>
      <c r="C876" s="3" t="n">
        <v>22907.6</v>
      </c>
      <c r="D876" s="3" t="n">
        <v>1365.93</v>
      </c>
      <c r="E876" s="3" t="n">
        <v>1346.92</v>
      </c>
      <c r="F876" s="4">
        <f>C876/C875-1</f>
        <v/>
      </c>
      <c r="G876" s="4">
        <f>E876/E875-1</f>
        <v/>
      </c>
    </row>
    <row r="877">
      <c r="A877" s="2" t="n">
        <v>45736</v>
      </c>
      <c r="B877" s="3" t="n">
        <v>23190.65</v>
      </c>
      <c r="C877" s="3" t="n">
        <v>23190.65</v>
      </c>
      <c r="D877" s="3" t="n">
        <v>1379.55</v>
      </c>
      <c r="E877" s="3" t="n">
        <v>1360.35</v>
      </c>
      <c r="F877" s="4">
        <f>C877/C876-1</f>
        <v/>
      </c>
      <c r="G877" s="4">
        <f>E877/E876-1</f>
        <v/>
      </c>
    </row>
    <row r="878">
      <c r="A878" s="2" t="n">
        <v>45737</v>
      </c>
      <c r="B878" s="3" t="n">
        <v>23350.4</v>
      </c>
      <c r="C878" s="3" t="n">
        <v>23350.4</v>
      </c>
      <c r="D878" s="3" t="n">
        <v>1412.75</v>
      </c>
      <c r="E878" s="3" t="n">
        <v>1393.09</v>
      </c>
      <c r="F878" s="4">
        <f>C878/C877-1</f>
        <v/>
      </c>
      <c r="G878" s="4">
        <f>E878/E877-1</f>
        <v/>
      </c>
    </row>
    <row r="879">
      <c r="A879" s="2" t="n">
        <v>45740</v>
      </c>
      <c r="B879" s="3" t="n">
        <v>23658.35</v>
      </c>
      <c r="C879" s="3" t="n">
        <v>23658.35</v>
      </c>
      <c r="D879" s="3" t="n">
        <v>1411</v>
      </c>
      <c r="E879" s="3" t="n">
        <v>1391.36</v>
      </c>
      <c r="F879" s="4">
        <f>C879/C878-1</f>
        <v/>
      </c>
      <c r="G879" s="4">
        <f>E879/E878-1</f>
        <v/>
      </c>
    </row>
    <row r="880">
      <c r="A880" s="2" t="n">
        <v>45741</v>
      </c>
      <c r="B880" s="3" t="n">
        <v>23668.65</v>
      </c>
      <c r="C880" s="3" t="n">
        <v>23668.65</v>
      </c>
      <c r="D880" s="3" t="n">
        <v>1411.53</v>
      </c>
      <c r="E880" s="3" t="n">
        <v>1391.88</v>
      </c>
      <c r="F880" s="4">
        <f>C880/C879-1</f>
        <v/>
      </c>
      <c r="G880" s="4">
        <f>E880/E879-1</f>
        <v/>
      </c>
    </row>
    <row r="881">
      <c r="A881" s="2" t="n">
        <v>45742</v>
      </c>
      <c r="B881" s="3" t="n">
        <v>23486.85</v>
      </c>
      <c r="C881" s="3" t="n">
        <v>23486.85</v>
      </c>
      <c r="D881" s="3" t="n">
        <v>1422.7</v>
      </c>
      <c r="E881" s="3" t="n">
        <v>1402.9</v>
      </c>
      <c r="F881" s="4">
        <f>C881/C880-1</f>
        <v/>
      </c>
      <c r="G881" s="4">
        <f>E881/E880-1</f>
        <v/>
      </c>
    </row>
    <row r="882">
      <c r="A882" s="2" t="n">
        <v>45743</v>
      </c>
      <c r="B882" s="3" t="n">
        <v>23591.95</v>
      </c>
      <c r="C882" s="3" t="n">
        <v>23591.95</v>
      </c>
      <c r="D882" s="3" t="n">
        <v>1433.25</v>
      </c>
      <c r="E882" s="3" t="n">
        <v>1413.3</v>
      </c>
      <c r="F882" s="4">
        <f>C882/C881-1</f>
        <v/>
      </c>
      <c r="G882" s="4">
        <f>E882/E881-1</f>
        <v/>
      </c>
    </row>
    <row r="883">
      <c r="A883" s="2" t="n">
        <v>45744</v>
      </c>
      <c r="B883" s="3" t="n">
        <v>23519.35</v>
      </c>
      <c r="C883" s="3" t="n">
        <v>23519.35</v>
      </c>
      <c r="D883" s="3" t="n">
        <v>1424.65</v>
      </c>
      <c r="E883" s="3" t="n">
        <v>1404.82</v>
      </c>
      <c r="F883" s="4">
        <f>C883/C882-1</f>
        <v/>
      </c>
      <c r="G883" s="4">
        <f>E883/E882-1</f>
        <v/>
      </c>
    </row>
    <row r="884">
      <c r="A884" s="2" t="n">
        <v>45748</v>
      </c>
      <c r="B884" s="3" t="n">
        <v>23165.7</v>
      </c>
      <c r="C884" s="3" t="n">
        <v>23165.7</v>
      </c>
      <c r="D884" s="3" t="n">
        <v>1413.28</v>
      </c>
      <c r="E884" s="3" t="n">
        <v>1393.61</v>
      </c>
      <c r="F884" s="4">
        <f>C884/C883-1</f>
        <v/>
      </c>
      <c r="G884" s="4">
        <f>E884/E883-1</f>
        <v/>
      </c>
    </row>
    <row r="885">
      <c r="A885" s="2" t="n">
        <v>45749</v>
      </c>
      <c r="B885" s="3" t="n">
        <v>23332.35</v>
      </c>
      <c r="C885" s="3" t="n">
        <v>23332.35</v>
      </c>
      <c r="D885" s="3" t="n">
        <v>1425.47</v>
      </c>
      <c r="E885" s="3" t="n">
        <v>1405.64</v>
      </c>
      <c r="F885" s="4">
        <f>C885/C884-1</f>
        <v/>
      </c>
      <c r="G885" s="4">
        <f>E885/E884-1</f>
        <v/>
      </c>
    </row>
    <row r="886">
      <c r="A886" s="2" t="n">
        <v>45750</v>
      </c>
      <c r="B886" s="3" t="n">
        <v>23250.1</v>
      </c>
      <c r="C886" s="3" t="n">
        <v>23250.1</v>
      </c>
      <c r="D886" s="3" t="n">
        <v>1430.75</v>
      </c>
      <c r="E886" s="3" t="n">
        <v>1410.84</v>
      </c>
      <c r="F886" s="4">
        <f>C886/C885-1</f>
        <v/>
      </c>
      <c r="G886" s="4">
        <f>E886/E885-1</f>
        <v/>
      </c>
    </row>
    <row r="887">
      <c r="A887" s="2" t="n">
        <v>45751</v>
      </c>
      <c r="B887" s="3" t="n">
        <v>22904.45</v>
      </c>
      <c r="C887" s="3" t="n">
        <v>22904.45</v>
      </c>
      <c r="D887" s="3" t="n">
        <v>1446</v>
      </c>
      <c r="E887" s="3" t="n">
        <v>1425.88</v>
      </c>
      <c r="F887" s="4">
        <f>C887/C886-1</f>
        <v/>
      </c>
      <c r="G887" s="4">
        <f>E887/E886-1</f>
        <v/>
      </c>
    </row>
    <row r="888">
      <c r="A888" s="2" t="n">
        <v>45754</v>
      </c>
      <c r="B888" s="3" t="n">
        <v>22161.6</v>
      </c>
      <c r="C888" s="3" t="n">
        <v>22161.6</v>
      </c>
      <c r="D888" s="3" t="n">
        <v>1424.38</v>
      </c>
      <c r="E888" s="3" t="n">
        <v>1404.55</v>
      </c>
      <c r="F888" s="4">
        <f>C888/C887-1</f>
        <v/>
      </c>
      <c r="G888" s="4">
        <f>E888/E887-1</f>
        <v/>
      </c>
    </row>
    <row r="889">
      <c r="A889" s="2" t="n">
        <v>45755</v>
      </c>
      <c r="B889" s="3" t="n">
        <v>22535.85</v>
      </c>
      <c r="C889" s="3" t="n">
        <v>22535.85</v>
      </c>
      <c r="D889" s="3" t="n">
        <v>1465.47</v>
      </c>
      <c r="E889" s="3" t="n">
        <v>1445.08</v>
      </c>
      <c r="F889" s="4">
        <f>C889/C888-1</f>
        <v/>
      </c>
      <c r="G889" s="4">
        <f>E889/E888-1</f>
        <v/>
      </c>
    </row>
    <row r="890">
      <c r="A890" s="2" t="n">
        <v>45756</v>
      </c>
      <c r="B890" s="3" t="n">
        <v>22399.15</v>
      </c>
      <c r="C890" s="3" t="n">
        <v>22399.15</v>
      </c>
      <c r="D890" s="3" t="n">
        <v>1469.9</v>
      </c>
      <c r="E890" s="3" t="n">
        <v>1449.44</v>
      </c>
      <c r="F890" s="4">
        <f>C890/C889-1</f>
        <v/>
      </c>
      <c r="G890" s="4">
        <f>E890/E889-1</f>
        <v/>
      </c>
    </row>
    <row r="891">
      <c r="A891" s="2" t="n">
        <v>45758</v>
      </c>
      <c r="B891" s="3" t="n">
        <v>22828.55</v>
      </c>
      <c r="C891" s="3" t="n">
        <v>22828.55</v>
      </c>
      <c r="D891" s="3" t="n">
        <v>1476.3</v>
      </c>
      <c r="E891" s="3" t="n">
        <v>1455.76</v>
      </c>
      <c r="F891" s="4">
        <f>C891/C890-1</f>
        <v/>
      </c>
      <c r="G891" s="4">
        <f>E891/E890-1</f>
        <v/>
      </c>
    </row>
    <row r="892">
      <c r="A892" s="2" t="n">
        <v>45762</v>
      </c>
      <c r="B892" s="3" t="n">
        <v>23328.55</v>
      </c>
      <c r="C892" s="3" t="n">
        <v>23328.55</v>
      </c>
      <c r="D892" s="3" t="n">
        <v>1495.8</v>
      </c>
      <c r="E892" s="3" t="n">
        <v>1474.98</v>
      </c>
      <c r="F892" s="4">
        <f>C892/C891-1</f>
        <v/>
      </c>
      <c r="G892" s="4">
        <f>E892/E891-1</f>
        <v/>
      </c>
    </row>
    <row r="893">
      <c r="A893" s="2" t="n">
        <v>45763</v>
      </c>
      <c r="B893" s="3" t="n">
        <v>23437.2</v>
      </c>
      <c r="C893" s="3" t="n">
        <v>23437.2</v>
      </c>
      <c r="D893" s="3" t="n">
        <v>1513.25</v>
      </c>
      <c r="E893" s="3" t="n">
        <v>1492.19</v>
      </c>
      <c r="F893" s="4">
        <f>C893/C892-1</f>
        <v/>
      </c>
      <c r="G893" s="4">
        <f>E893/E892-1</f>
        <v/>
      </c>
    </row>
    <row r="894">
      <c r="A894" s="2" t="n">
        <v>45764</v>
      </c>
      <c r="B894" s="3" t="n">
        <v>23851.65</v>
      </c>
      <c r="C894" s="3" t="n">
        <v>23851.65</v>
      </c>
      <c r="D894" s="3" t="n">
        <v>1517.15</v>
      </c>
      <c r="E894" s="3" t="n">
        <v>1496.04</v>
      </c>
      <c r="F894" s="4">
        <f>C894/C893-1</f>
        <v/>
      </c>
      <c r="G894" s="4">
        <f>E894/E893-1</f>
        <v/>
      </c>
    </row>
    <row r="895">
      <c r="A895" s="2" t="n">
        <v>45768</v>
      </c>
      <c r="B895" s="3" t="n">
        <v>24125.55</v>
      </c>
      <c r="C895" s="3" t="n">
        <v>24125.55</v>
      </c>
      <c r="D895" s="3" t="n">
        <v>1509.65</v>
      </c>
      <c r="E895" s="3" t="n">
        <v>1488.64</v>
      </c>
      <c r="F895" s="4">
        <f>C895/C894-1</f>
        <v/>
      </c>
      <c r="G895" s="4">
        <f>E895/E894-1</f>
        <v/>
      </c>
    </row>
    <row r="896">
      <c r="A896" s="2" t="n">
        <v>45769</v>
      </c>
      <c r="B896" s="3" t="n">
        <v>24167.25</v>
      </c>
      <c r="C896" s="3" t="n">
        <v>24167.25</v>
      </c>
      <c r="D896" s="3" t="n">
        <v>1514.4</v>
      </c>
      <c r="E896" s="3" t="n">
        <v>1493.33</v>
      </c>
      <c r="F896" s="4">
        <f>C896/C895-1</f>
        <v/>
      </c>
      <c r="G896" s="4">
        <f>E896/E895-1</f>
        <v/>
      </c>
    </row>
    <row r="897">
      <c r="A897" s="2" t="n">
        <v>45770</v>
      </c>
      <c r="B897" s="3" t="n">
        <v>24328.95</v>
      </c>
      <c r="C897" s="3" t="n">
        <v>24328.95</v>
      </c>
      <c r="D897" s="3" t="n">
        <v>1533.45</v>
      </c>
      <c r="E897" s="3" t="n">
        <v>1512.11</v>
      </c>
      <c r="F897" s="4">
        <f>C897/C896-1</f>
        <v/>
      </c>
      <c r="G897" s="4">
        <f>E897/E896-1</f>
        <v/>
      </c>
    </row>
    <row r="898">
      <c r="A898" s="2" t="n">
        <v>45771</v>
      </c>
      <c r="B898" s="3" t="n">
        <v>24246.7</v>
      </c>
      <c r="C898" s="3" t="n">
        <v>24246.7</v>
      </c>
      <c r="D898" s="3" t="n">
        <v>1538.2</v>
      </c>
      <c r="E898" s="3" t="n">
        <v>1516.79</v>
      </c>
      <c r="F898" s="4">
        <f>C898/C897-1</f>
        <v/>
      </c>
      <c r="G898" s="4">
        <f>E898/E897-1</f>
        <v/>
      </c>
    </row>
    <row r="899">
      <c r="A899" s="2" t="n">
        <v>45772</v>
      </c>
      <c r="B899" s="3" t="n">
        <v>24039.35</v>
      </c>
      <c r="C899" s="3" t="n">
        <v>24039.35</v>
      </c>
      <c r="D899" s="3" t="n">
        <v>1505.6</v>
      </c>
      <c r="E899" s="3" t="n">
        <v>1484.65</v>
      </c>
      <c r="F899" s="4">
        <f>C899/C898-1</f>
        <v/>
      </c>
      <c r="G899" s="4">
        <f>E899/E898-1</f>
        <v/>
      </c>
    </row>
    <row r="900">
      <c r="A900" s="2" t="n">
        <v>45775</v>
      </c>
      <c r="B900" s="3" t="n">
        <v>24328.5</v>
      </c>
      <c r="C900" s="3" t="n">
        <v>24328.5</v>
      </c>
      <c r="D900" s="3" t="n">
        <v>1521.4</v>
      </c>
      <c r="E900" s="3" t="n">
        <v>1500.23</v>
      </c>
      <c r="F900" s="4">
        <f>C900/C899-1</f>
        <v/>
      </c>
      <c r="G900" s="4">
        <f>E900/E899-1</f>
        <v/>
      </c>
    </row>
    <row r="901">
      <c r="A901" s="2" t="n">
        <v>45776</v>
      </c>
      <c r="B901" s="3" t="n">
        <v>24335.95</v>
      </c>
      <c r="C901" s="3" t="n">
        <v>24335.95</v>
      </c>
      <c r="D901" s="3" t="n">
        <v>1502.5</v>
      </c>
      <c r="E901" s="3" t="n">
        <v>1481.59</v>
      </c>
      <c r="F901" s="4">
        <f>C901/C900-1</f>
        <v/>
      </c>
      <c r="G901" s="4">
        <f>E901/E900-1</f>
        <v/>
      </c>
    </row>
    <row r="902">
      <c r="A902" s="2" t="n">
        <v>45777</v>
      </c>
      <c r="B902" s="3" t="n">
        <v>24334.2</v>
      </c>
      <c r="C902" s="3" t="n">
        <v>24334.2</v>
      </c>
      <c r="D902" s="3" t="n">
        <v>1516.95</v>
      </c>
      <c r="E902" s="3" t="n">
        <v>1495.84</v>
      </c>
      <c r="F902" s="4">
        <f>C902/C901-1</f>
        <v/>
      </c>
      <c r="G902" s="4">
        <f>E902/E901-1</f>
        <v/>
      </c>
    </row>
    <row r="903">
      <c r="A903" s="2" t="n">
        <v>45779</v>
      </c>
      <c r="B903" s="3" t="n">
        <v>24346.7</v>
      </c>
      <c r="C903" s="3" t="n">
        <v>24346.7</v>
      </c>
      <c r="D903" s="3" t="n">
        <v>1499</v>
      </c>
      <c r="E903" s="3" t="n">
        <v>1478.14</v>
      </c>
      <c r="F903" s="4">
        <f>C903/C902-1</f>
        <v/>
      </c>
      <c r="G903" s="4">
        <f>E903/E902-1</f>
        <v/>
      </c>
    </row>
    <row r="904">
      <c r="A904" s="2" t="n">
        <v>45782</v>
      </c>
      <c r="B904" s="3" t="n">
        <v>24461.15</v>
      </c>
      <c r="C904" s="3" t="n">
        <v>24461.15</v>
      </c>
      <c r="D904" s="3" t="n">
        <v>1517.25</v>
      </c>
      <c r="E904" s="3" t="n">
        <v>1496.14</v>
      </c>
      <c r="F904" s="4">
        <f>C904/C903-1</f>
        <v/>
      </c>
      <c r="G904" s="4">
        <f>E904/E903-1</f>
        <v/>
      </c>
    </row>
    <row r="905">
      <c r="A905" s="2" t="n">
        <v>45783</v>
      </c>
      <c r="B905" s="3" t="n">
        <v>24379.6</v>
      </c>
      <c r="C905" s="3" t="n">
        <v>24379.6</v>
      </c>
      <c r="D905" s="3" t="n">
        <v>1502.3</v>
      </c>
      <c r="E905" s="3" t="n">
        <v>1481.39</v>
      </c>
      <c r="F905" s="4">
        <f>C905/C904-1</f>
        <v/>
      </c>
      <c r="G905" s="4">
        <f>E905/E904-1</f>
        <v/>
      </c>
    </row>
    <row r="906">
      <c r="A906" s="2" t="n">
        <v>45784</v>
      </c>
      <c r="B906" s="3" t="n">
        <v>24414.4</v>
      </c>
      <c r="C906" s="3" t="n">
        <v>24414.4</v>
      </c>
      <c r="D906" s="3" t="n">
        <v>1487.65</v>
      </c>
      <c r="E906" s="3" t="n">
        <v>1466.95</v>
      </c>
      <c r="F906" s="4">
        <f>C906/C905-1</f>
        <v/>
      </c>
      <c r="G906" s="4">
        <f>E906/E905-1</f>
        <v/>
      </c>
    </row>
    <row r="907">
      <c r="A907" s="2" t="n">
        <v>45785</v>
      </c>
      <c r="B907" s="3" t="n">
        <v>24273.8</v>
      </c>
      <c r="C907" s="3" t="n">
        <v>24273.8</v>
      </c>
      <c r="D907" s="3" t="n">
        <v>1478.75</v>
      </c>
      <c r="E907" s="3" t="n">
        <v>1458.17</v>
      </c>
      <c r="F907" s="4">
        <f>C907/C906-1</f>
        <v/>
      </c>
      <c r="G907" s="4">
        <f>E907/E906-1</f>
        <v/>
      </c>
    </row>
    <row r="908">
      <c r="A908" s="2" t="n">
        <v>45786</v>
      </c>
      <c r="B908" s="3" t="n">
        <v>24008</v>
      </c>
      <c r="C908" s="3" t="n">
        <v>24008</v>
      </c>
      <c r="D908" s="3" t="n">
        <v>1490</v>
      </c>
      <c r="E908" s="3" t="n">
        <v>1469.26</v>
      </c>
      <c r="F908" s="4">
        <f>C908/C907-1</f>
        <v/>
      </c>
      <c r="G908" s="4">
        <f>E908/E907-1</f>
        <v/>
      </c>
    </row>
    <row r="909">
      <c r="A909" s="2" t="n">
        <v>45789</v>
      </c>
      <c r="B909" s="3" t="n">
        <v>24924.7</v>
      </c>
      <c r="C909" s="3" t="n">
        <v>24924.7</v>
      </c>
      <c r="D909" s="3" t="n">
        <v>1538.25</v>
      </c>
      <c r="E909" s="3" t="n">
        <v>1516.84</v>
      </c>
      <c r="F909" s="4">
        <f>C909/C908-1</f>
        <v/>
      </c>
      <c r="G909" s="4">
        <f>E909/E908-1</f>
        <v/>
      </c>
    </row>
    <row r="910">
      <c r="A910" s="2" t="n">
        <v>45790</v>
      </c>
      <c r="B910" s="3" t="n">
        <v>24578.35</v>
      </c>
      <c r="C910" s="3" t="n">
        <v>24578.35</v>
      </c>
      <c r="D910" s="3" t="n">
        <v>1550.3</v>
      </c>
      <c r="E910" s="3" t="n">
        <v>1528.73</v>
      </c>
      <c r="F910" s="4">
        <f>C910/C909-1</f>
        <v/>
      </c>
      <c r="G910" s="4">
        <f>E910/E909-1</f>
        <v/>
      </c>
    </row>
    <row r="911">
      <c r="A911" s="2" t="n">
        <v>45791</v>
      </c>
      <c r="B911" s="3" t="n">
        <v>24666.9</v>
      </c>
      <c r="C911" s="3" t="n">
        <v>24666.9</v>
      </c>
      <c r="D911" s="3" t="n">
        <v>1554.3</v>
      </c>
      <c r="E911" s="3" t="n">
        <v>1532.67</v>
      </c>
      <c r="F911" s="4">
        <f>C911/C910-1</f>
        <v/>
      </c>
      <c r="G911" s="4">
        <f>E911/E910-1</f>
        <v/>
      </c>
    </row>
    <row r="912">
      <c r="A912" s="2" t="n">
        <v>45792</v>
      </c>
      <c r="B912" s="3" t="n">
        <v>25062.1</v>
      </c>
      <c r="C912" s="3" t="n">
        <v>25062.1</v>
      </c>
      <c r="D912" s="3" t="n">
        <v>1555.75</v>
      </c>
      <c r="E912" s="3" t="n">
        <v>1534.1</v>
      </c>
      <c r="F912" s="4">
        <f>C912/C911-1</f>
        <v/>
      </c>
      <c r="G912" s="4">
        <f>E912/E911-1</f>
        <v/>
      </c>
    </row>
    <row r="913">
      <c r="A913" s="2" t="n">
        <v>45793</v>
      </c>
      <c r="B913" s="3" t="n">
        <v>25019.8</v>
      </c>
      <c r="C913" s="3" t="n">
        <v>25019.8</v>
      </c>
      <c r="D913" s="3" t="n">
        <v>1545.6</v>
      </c>
      <c r="E913" s="3" t="n">
        <v>1524.09</v>
      </c>
      <c r="F913" s="4">
        <f>C913/C912-1</f>
        <v/>
      </c>
      <c r="G913" s="4">
        <f>E913/E912-1</f>
        <v/>
      </c>
    </row>
    <row r="914">
      <c r="A914" s="2" t="n">
        <v>45796</v>
      </c>
      <c r="B914" s="3" t="n">
        <v>24945.45</v>
      </c>
      <c r="C914" s="3" t="n">
        <v>24945.45</v>
      </c>
      <c r="D914" s="3" t="n">
        <v>1534.05</v>
      </c>
      <c r="E914" s="3" t="n">
        <v>1512.7</v>
      </c>
      <c r="F914" s="4">
        <f>C914/C913-1</f>
        <v/>
      </c>
      <c r="G914" s="4">
        <f>E914/E913-1</f>
        <v/>
      </c>
    </row>
    <row r="915">
      <c r="A915" s="2" t="n">
        <v>45797</v>
      </c>
      <c r="B915" s="3" t="n">
        <v>24683.9</v>
      </c>
      <c r="C915" s="3" t="n">
        <v>24683.9</v>
      </c>
      <c r="D915" s="3" t="n">
        <v>1501.4</v>
      </c>
      <c r="E915" s="3" t="n">
        <v>1480.51</v>
      </c>
      <c r="F915" s="4">
        <f>C915/C914-1</f>
        <v/>
      </c>
      <c r="G915" s="4">
        <f>E915/E914-1</f>
        <v/>
      </c>
    </row>
    <row r="916">
      <c r="A916" s="2" t="n">
        <v>45798</v>
      </c>
      <c r="B916" s="3" t="n">
        <v>24813.45</v>
      </c>
      <c r="C916" s="3" t="n">
        <v>24813.45</v>
      </c>
      <c r="D916" s="3" t="n">
        <v>1493.1</v>
      </c>
      <c r="E916" s="3" t="n">
        <v>1472.32</v>
      </c>
      <c r="F916" s="4">
        <f>C916/C915-1</f>
        <v/>
      </c>
      <c r="G916" s="4">
        <f>E916/E915-1</f>
        <v/>
      </c>
    </row>
    <row r="917">
      <c r="A917" s="2" t="n">
        <v>45799</v>
      </c>
      <c r="B917" s="3" t="n">
        <v>24609.7</v>
      </c>
      <c r="C917" s="3" t="n">
        <v>24609.7</v>
      </c>
      <c r="D917" s="3" t="n">
        <v>1497.25</v>
      </c>
      <c r="E917" s="3" t="n">
        <v>1476.41</v>
      </c>
      <c r="F917" s="4">
        <f>C917/C916-1</f>
        <v/>
      </c>
      <c r="G917" s="4">
        <f>E917/E916-1</f>
        <v/>
      </c>
    </row>
    <row r="918">
      <c r="A918" s="2" t="n">
        <v>45800</v>
      </c>
      <c r="B918" s="3" t="n">
        <v>24853.15</v>
      </c>
      <c r="C918" s="3" t="n">
        <v>24853.15</v>
      </c>
      <c r="D918" s="3" t="n">
        <v>1515.85</v>
      </c>
      <c r="E918" s="3" t="n">
        <v>1494.76</v>
      </c>
      <c r="F918" s="4">
        <f>C918/C917-1</f>
        <v/>
      </c>
      <c r="G918" s="4">
        <f>E918/E917-1</f>
        <v/>
      </c>
    </row>
    <row r="919">
      <c r="A919" s="2" t="n">
        <v>45803</v>
      </c>
      <c r="B919" s="3" t="n">
        <v>25001.15</v>
      </c>
      <c r="C919" s="3" t="n">
        <v>25001.15</v>
      </c>
      <c r="D919" s="3" t="n">
        <v>1522.6</v>
      </c>
      <c r="E919" s="3" t="n">
        <v>1501.41</v>
      </c>
      <c r="F919" s="4">
        <f>C919/C918-1</f>
        <v/>
      </c>
      <c r="G919" s="4">
        <f>E919/E918-1</f>
        <v/>
      </c>
    </row>
    <row r="920">
      <c r="A920" s="2" t="n">
        <v>45804</v>
      </c>
      <c r="B920" s="3" t="n">
        <v>24826.2</v>
      </c>
      <c r="C920" s="3" t="n">
        <v>24826.2</v>
      </c>
      <c r="D920" s="3" t="n">
        <v>1513.8</v>
      </c>
      <c r="E920" s="3" t="n">
        <v>1492.73</v>
      </c>
      <c r="F920" s="4">
        <f>C920/C919-1</f>
        <v/>
      </c>
      <c r="G920" s="4">
        <f>E920/E919-1</f>
        <v/>
      </c>
    </row>
    <row r="921">
      <c r="A921" s="2" t="n">
        <v>45805</v>
      </c>
      <c r="B921" s="3" t="n">
        <v>24752.45</v>
      </c>
      <c r="C921" s="3" t="n">
        <v>24752.45</v>
      </c>
      <c r="D921" s="3" t="n">
        <v>1500.5</v>
      </c>
      <c r="E921" s="3" t="n">
        <v>1479.62</v>
      </c>
      <c r="F921" s="4">
        <f>C921/C920-1</f>
        <v/>
      </c>
      <c r="G921" s="4">
        <f>E921/E920-1</f>
        <v/>
      </c>
    </row>
    <row r="922">
      <c r="A922" s="2" t="n">
        <v>45806</v>
      </c>
      <c r="B922" s="3" t="n">
        <v>24833.6</v>
      </c>
      <c r="C922" s="3" t="n">
        <v>24833.6</v>
      </c>
      <c r="D922" s="3" t="n">
        <v>1514.8</v>
      </c>
      <c r="E922" s="3" t="n">
        <v>1493.72</v>
      </c>
      <c r="F922" s="4">
        <f>C922/C921-1</f>
        <v/>
      </c>
      <c r="G922" s="4">
        <f>E922/E921-1</f>
        <v/>
      </c>
    </row>
    <row r="923">
      <c r="A923" s="2" t="n">
        <v>45807</v>
      </c>
      <c r="B923" s="3" t="n">
        <v>24750.7</v>
      </c>
      <c r="C923" s="3" t="n">
        <v>24750.7</v>
      </c>
      <c r="D923" s="3" t="n">
        <v>1553.6</v>
      </c>
      <c r="E923" s="3" t="n">
        <v>1531.98</v>
      </c>
      <c r="F923" s="4">
        <f>C923/C922-1</f>
        <v/>
      </c>
      <c r="G923" s="4">
        <f>E923/E922-1</f>
        <v/>
      </c>
    </row>
    <row r="924">
      <c r="A924" s="2" t="n">
        <v>45810</v>
      </c>
      <c r="B924" s="3" t="n">
        <v>24716.6</v>
      </c>
      <c r="C924" s="3" t="n">
        <v>24716.6</v>
      </c>
      <c r="D924" s="3" t="n">
        <v>1540.1</v>
      </c>
      <c r="E924" s="3" t="n">
        <v>1518.67</v>
      </c>
      <c r="F924" s="4">
        <f>C924/C923-1</f>
        <v/>
      </c>
      <c r="G924" s="4">
        <f>E924/E923-1</f>
        <v/>
      </c>
    </row>
    <row r="925">
      <c r="A925" s="2" t="n">
        <v>45811</v>
      </c>
      <c r="B925" s="3" t="n">
        <v>24542.5</v>
      </c>
      <c r="C925" s="3" t="n">
        <v>24542.5</v>
      </c>
      <c r="D925" s="3" t="n">
        <v>1548.05</v>
      </c>
      <c r="E925" s="3" t="n">
        <v>1526.51</v>
      </c>
      <c r="F925" s="4">
        <f>C925/C924-1</f>
        <v/>
      </c>
      <c r="G925" s="4">
        <f>E925/E924-1</f>
        <v/>
      </c>
    </row>
    <row r="926">
      <c r="A926" s="2" t="n">
        <v>45812</v>
      </c>
      <c r="B926" s="3" t="n">
        <v>24620.2</v>
      </c>
      <c r="C926" s="3" t="n">
        <v>24620.2</v>
      </c>
      <c r="D926" s="3" t="n">
        <v>1547.65</v>
      </c>
      <c r="E926" s="3" t="n">
        <v>1526.11</v>
      </c>
      <c r="F926" s="4">
        <f>C926/C925-1</f>
        <v/>
      </c>
      <c r="G926" s="4">
        <f>E926/E925-1</f>
        <v/>
      </c>
    </row>
    <row r="927">
      <c r="A927" s="2" t="n">
        <v>45813</v>
      </c>
      <c r="B927" s="3" t="n">
        <v>24750.9</v>
      </c>
      <c r="C927" s="3" t="n">
        <v>24750.9</v>
      </c>
      <c r="D927" s="3" t="n">
        <v>1526.6</v>
      </c>
      <c r="E927" s="3" t="n">
        <v>1505.36</v>
      </c>
      <c r="F927" s="4">
        <f>C927/C926-1</f>
        <v/>
      </c>
      <c r="G927" s="4">
        <f>E927/E926-1</f>
        <v/>
      </c>
    </row>
    <row r="928">
      <c r="A928" s="2" t="n">
        <v>45814</v>
      </c>
      <c r="B928" s="3" t="n">
        <v>25003.05</v>
      </c>
      <c r="C928" s="3" t="n">
        <v>25003.05</v>
      </c>
      <c r="D928" s="3" t="n">
        <v>1524.9</v>
      </c>
      <c r="E928" s="3" t="n">
        <v>1503.68</v>
      </c>
      <c r="F928" s="4">
        <f>C928/C927-1</f>
        <v/>
      </c>
      <c r="G928" s="4">
        <f>E928/E927-1</f>
        <v/>
      </c>
    </row>
    <row r="929">
      <c r="A929" s="2" t="n">
        <v>45817</v>
      </c>
      <c r="B929" s="3" t="n">
        <v>25103.2</v>
      </c>
      <c r="C929" s="3" t="n">
        <v>25103.2</v>
      </c>
      <c r="D929" s="3" t="n">
        <v>1527.9</v>
      </c>
      <c r="E929" s="3" t="n">
        <v>1506.64</v>
      </c>
      <c r="F929" s="4">
        <f>C929/C928-1</f>
        <v/>
      </c>
      <c r="G929" s="4">
        <f>E929/E928-1</f>
        <v/>
      </c>
    </row>
    <row r="930">
      <c r="A930" s="2" t="n">
        <v>45818</v>
      </c>
      <c r="B930" s="3" t="n">
        <v>25104.25</v>
      </c>
      <c r="C930" s="3" t="n">
        <v>25104.25</v>
      </c>
      <c r="D930" s="3" t="n">
        <v>1539.65</v>
      </c>
      <c r="E930" s="3" t="n">
        <v>1518.22</v>
      </c>
      <c r="F930" s="4">
        <f>C930/C929-1</f>
        <v/>
      </c>
      <c r="G930" s="4">
        <f>E930/E929-1</f>
        <v/>
      </c>
    </row>
    <row r="931">
      <c r="A931" s="2" t="n">
        <v>45819</v>
      </c>
      <c r="B931" s="3" t="n">
        <v>25141.4</v>
      </c>
      <c r="C931" s="3" t="n">
        <v>25141.4</v>
      </c>
      <c r="D931" s="3" t="n">
        <v>1530.1</v>
      </c>
      <c r="E931" s="3" t="n">
        <v>1508.81</v>
      </c>
      <c r="F931" s="4">
        <f>C931/C930-1</f>
        <v/>
      </c>
      <c r="G931" s="4">
        <f>E931/E930-1</f>
        <v/>
      </c>
    </row>
    <row r="932">
      <c r="A932" s="2" t="n">
        <v>45820</v>
      </c>
      <c r="B932" s="3" t="n">
        <v>24888.2</v>
      </c>
      <c r="C932" s="3" t="n">
        <v>24888.2</v>
      </c>
      <c r="D932" s="3" t="n">
        <v>1523.45</v>
      </c>
      <c r="E932" s="3" t="n">
        <v>1502.25</v>
      </c>
      <c r="F932" s="4">
        <f>C932/C931-1</f>
        <v/>
      </c>
      <c r="G932" s="4">
        <f>E932/E931-1</f>
        <v/>
      </c>
    </row>
    <row r="933">
      <c r="A933" s="2" t="n">
        <v>45821</v>
      </c>
      <c r="B933" s="3" t="n">
        <v>24718.6</v>
      </c>
      <c r="C933" s="3" t="n">
        <v>24718.6</v>
      </c>
      <c r="D933" s="3" t="n">
        <v>1506.25</v>
      </c>
      <c r="E933" s="3" t="n">
        <v>1485.29</v>
      </c>
      <c r="F933" s="4">
        <f>C933/C932-1</f>
        <v/>
      </c>
      <c r="G933" s="4">
        <f>E933/E932-1</f>
        <v/>
      </c>
    </row>
    <row r="934">
      <c r="A934" s="2" t="n">
        <v>45824</v>
      </c>
      <c r="B934" s="3" t="n">
        <v>24946.5</v>
      </c>
      <c r="C934" s="3" t="n">
        <v>24946.5</v>
      </c>
      <c r="D934" s="3" t="n">
        <v>1499.4</v>
      </c>
      <c r="E934" s="3" t="n">
        <v>1478.53</v>
      </c>
      <c r="F934" s="4">
        <f>C934/C933-1</f>
        <v/>
      </c>
      <c r="G934" s="4">
        <f>E934/E933-1</f>
        <v/>
      </c>
    </row>
    <row r="935">
      <c r="A935" s="2" t="n">
        <v>45825</v>
      </c>
      <c r="B935" s="3" t="n">
        <v>24853.4</v>
      </c>
      <c r="C935" s="3" t="n">
        <v>24853.4</v>
      </c>
      <c r="D935" s="3" t="n">
        <v>1509.15</v>
      </c>
      <c r="E935" s="3" t="n">
        <v>1488.15</v>
      </c>
      <c r="F935" s="4">
        <f>C935/C934-1</f>
        <v/>
      </c>
      <c r="G935" s="4">
        <f>E935/E934-1</f>
        <v/>
      </c>
    </row>
    <row r="936">
      <c r="A936" s="2" t="n">
        <v>45826</v>
      </c>
      <c r="B936" s="3" t="n">
        <v>24812.05</v>
      </c>
      <c r="C936" s="3" t="n">
        <v>24812.05</v>
      </c>
      <c r="D936" s="3" t="n">
        <v>1484.1</v>
      </c>
      <c r="E936" s="3" t="n">
        <v>1463.45</v>
      </c>
      <c r="F936" s="4">
        <f>C936/C935-1</f>
        <v/>
      </c>
      <c r="G936" s="4">
        <f>E936/E935-1</f>
        <v/>
      </c>
    </row>
    <row r="937">
      <c r="A937" s="2" t="n">
        <v>45827</v>
      </c>
      <c r="B937" s="3" t="n">
        <v>24793.25</v>
      </c>
      <c r="C937" s="3" t="n">
        <v>24793.25</v>
      </c>
      <c r="D937" s="3" t="n">
        <v>1483.65</v>
      </c>
      <c r="E937" s="3" t="n">
        <v>1463</v>
      </c>
      <c r="F937" s="4">
        <f>C937/C936-1</f>
        <v/>
      </c>
      <c r="G937" s="4">
        <f>E937/E936-1</f>
        <v/>
      </c>
    </row>
    <row r="938">
      <c r="A938" s="2" t="n">
        <v>45828</v>
      </c>
      <c r="B938" s="3" t="n">
        <v>25112.4</v>
      </c>
      <c r="C938" s="3" t="n">
        <v>25112.4</v>
      </c>
      <c r="D938" s="3" t="n">
        <v>1478.05</v>
      </c>
      <c r="E938" s="3" t="n">
        <v>1457.48</v>
      </c>
      <c r="F938" s="4">
        <f>C938/C937-1</f>
        <v/>
      </c>
      <c r="G938" s="4">
        <f>E938/E937-1</f>
        <v/>
      </c>
    </row>
    <row r="939">
      <c r="A939" s="2" t="n">
        <v>45831</v>
      </c>
      <c r="B939" s="3" t="n">
        <v>24971.9</v>
      </c>
      <c r="C939" s="3" t="n">
        <v>24971.9</v>
      </c>
      <c r="D939" s="3" t="n">
        <v>1475.85</v>
      </c>
      <c r="E939" s="3" t="n">
        <v>1455.31</v>
      </c>
      <c r="F939" s="4">
        <f>C939/C938-1</f>
        <v/>
      </c>
      <c r="G939" s="4">
        <f>E939/E938-1</f>
        <v/>
      </c>
    </row>
    <row r="940">
      <c r="A940" s="2" t="n">
        <v>45832</v>
      </c>
      <c r="B940" s="3" t="n">
        <v>25044.35</v>
      </c>
      <c r="C940" s="3" t="n">
        <v>25044.35</v>
      </c>
      <c r="D940" s="3" t="n">
        <v>1501.15</v>
      </c>
      <c r="E940" s="3" t="n">
        <v>1480.26</v>
      </c>
      <c r="F940" s="4">
        <f>C940/C939-1</f>
        <v/>
      </c>
      <c r="G940" s="4">
        <f>E940/E939-1</f>
        <v/>
      </c>
    </row>
    <row r="941">
      <c r="A941" s="2" t="n">
        <v>45833</v>
      </c>
      <c r="B941" s="3" t="n">
        <v>25244.75</v>
      </c>
      <c r="C941" s="3" t="n">
        <v>25244.75</v>
      </c>
      <c r="D941" s="3" t="n">
        <v>1502.95</v>
      </c>
      <c r="E941" s="3" t="n">
        <v>1482.03</v>
      </c>
      <c r="F941" s="4">
        <f>C941/C940-1</f>
        <v/>
      </c>
      <c r="G941" s="4">
        <f>E941/E940-1</f>
        <v/>
      </c>
    </row>
    <row r="942">
      <c r="A942" s="2" t="n">
        <v>45834</v>
      </c>
      <c r="B942" s="3" t="n">
        <v>25549</v>
      </c>
      <c r="C942" s="3" t="n">
        <v>25549</v>
      </c>
      <c r="D942" s="3" t="n">
        <v>1510</v>
      </c>
      <c r="E942" s="3" t="n">
        <v>1488.99</v>
      </c>
      <c r="F942" s="4">
        <f>C942/C941-1</f>
        <v/>
      </c>
      <c r="G942" s="4">
        <f>E942/E941-1</f>
        <v/>
      </c>
    </row>
    <row r="943">
      <c r="A943" s="2" t="n">
        <v>45835</v>
      </c>
      <c r="B943" s="3" t="n">
        <v>25637.8</v>
      </c>
      <c r="C943" s="3" t="n">
        <v>25637.8</v>
      </c>
      <c r="D943" s="3" t="n">
        <v>1525.85</v>
      </c>
      <c r="E943" s="3" t="n">
        <v>1504.62</v>
      </c>
      <c r="F943" s="4">
        <f>C943/C942-1</f>
        <v/>
      </c>
      <c r="G943" s="4">
        <f>E943/E942-1</f>
        <v/>
      </c>
    </row>
    <row r="944">
      <c r="A944" s="2" t="n">
        <v>45838</v>
      </c>
      <c r="B944" s="3" t="n">
        <v>25517.05</v>
      </c>
      <c r="C944" s="3" t="n">
        <v>25517.05</v>
      </c>
      <c r="D944" s="3" t="n">
        <v>1527.2</v>
      </c>
      <c r="E944" s="3" t="n">
        <v>1505.95</v>
      </c>
      <c r="F944" s="4">
        <f>C944/C943-1</f>
        <v/>
      </c>
      <c r="G944" s="4">
        <f>E944/E943-1</f>
        <v/>
      </c>
    </row>
    <row r="945">
      <c r="A945" s="2" t="n">
        <v>45839</v>
      </c>
      <c r="B945" s="3" t="n">
        <v>25541.8</v>
      </c>
      <c r="C945" s="3" t="n">
        <v>25541.8</v>
      </c>
      <c r="D945" s="3" t="n">
        <v>1522.9</v>
      </c>
      <c r="E945" s="3" t="n">
        <v>1501.71</v>
      </c>
      <c r="F945" s="4">
        <f>C945/C944-1</f>
        <v/>
      </c>
      <c r="G945" s="4">
        <f>E945/E944-1</f>
        <v/>
      </c>
    </row>
    <row r="946">
      <c r="A946" s="2" t="n">
        <v>45840</v>
      </c>
      <c r="B946" s="3" t="n">
        <v>25453.4</v>
      </c>
      <c r="C946" s="3" t="n">
        <v>25453.4</v>
      </c>
      <c r="D946" s="3" t="n">
        <v>1538.3</v>
      </c>
      <c r="E946" s="3" t="n">
        <v>1516.89</v>
      </c>
      <c r="F946" s="4">
        <f>C946/C945-1</f>
        <v/>
      </c>
      <c r="G946" s="4">
        <f>E946/E945-1</f>
        <v/>
      </c>
    </row>
    <row r="947">
      <c r="A947" s="2" t="n">
        <v>45841</v>
      </c>
      <c r="B947" s="3" t="n">
        <v>25405.3</v>
      </c>
      <c r="C947" s="3" t="n">
        <v>25405.3</v>
      </c>
      <c r="D947" s="3" t="n">
        <v>1557.25</v>
      </c>
      <c r="E947" s="3" t="n">
        <v>1535.58</v>
      </c>
      <c r="F947" s="4">
        <f>C947/C946-1</f>
        <v/>
      </c>
      <c r="G947" s="4">
        <f>E947/E946-1</f>
        <v/>
      </c>
    </row>
    <row r="948">
      <c r="A948" s="2" t="n">
        <v>45842</v>
      </c>
      <c r="B948" s="3" t="n">
        <v>25461</v>
      </c>
      <c r="C948" s="3" t="n">
        <v>25461</v>
      </c>
      <c r="D948" s="3" t="n">
        <v>1540.1</v>
      </c>
      <c r="E948" s="3" t="n">
        <v>1518.67</v>
      </c>
      <c r="F948" s="4">
        <f>C948/C947-1</f>
        <v/>
      </c>
      <c r="G948" s="4">
        <f>E948/E947-1</f>
        <v/>
      </c>
    </row>
    <row r="949">
      <c r="A949" s="2" t="n">
        <v>45845</v>
      </c>
      <c r="B949" s="3" t="n">
        <v>25461.3</v>
      </c>
      <c r="C949" s="3" t="n">
        <v>25461.3</v>
      </c>
      <c r="D949" s="3" t="n">
        <v>1536.2</v>
      </c>
      <c r="E949" s="3" t="n">
        <v>1514.82</v>
      </c>
      <c r="F949" s="4">
        <f>C949/C948-1</f>
        <v/>
      </c>
      <c r="G949" s="4">
        <f>E949/E948-1</f>
        <v/>
      </c>
    </row>
    <row r="950">
      <c r="A950" s="2" t="n">
        <v>45846</v>
      </c>
      <c r="B950" s="3" t="n">
        <v>25522.5</v>
      </c>
      <c r="C950" s="3" t="n">
        <v>25522.5</v>
      </c>
      <c r="D950" s="3" t="n">
        <v>1533.8</v>
      </c>
      <c r="E950" s="3" t="n">
        <v>1512.46</v>
      </c>
      <c r="F950" s="4">
        <f>C950/C949-1</f>
        <v/>
      </c>
      <c r="G950" s="4">
        <f>E950/E949-1</f>
        <v/>
      </c>
    </row>
    <row r="951">
      <c r="A951" s="2" t="n">
        <v>45847</v>
      </c>
      <c r="B951" s="3" t="n">
        <v>25476.1</v>
      </c>
      <c r="C951" s="3" t="n">
        <v>25476.1</v>
      </c>
      <c r="D951" s="3" t="n">
        <v>1524.15</v>
      </c>
      <c r="E951" s="3" t="n">
        <v>1502.94</v>
      </c>
      <c r="F951" s="4">
        <f>C951/C950-1</f>
        <v/>
      </c>
      <c r="G951" s="4">
        <f>E951/E950-1</f>
        <v/>
      </c>
    </row>
    <row r="952">
      <c r="A952" s="2" t="n">
        <v>45848</v>
      </c>
      <c r="B952" s="3" t="n">
        <v>25355.25</v>
      </c>
      <c r="C952" s="3" t="n">
        <v>25355.25</v>
      </c>
      <c r="D952" s="3" t="n">
        <v>1532.55</v>
      </c>
      <c r="E952" s="3" t="n">
        <v>1511.22</v>
      </c>
      <c r="F952" s="4">
        <f>C952/C951-1</f>
        <v/>
      </c>
      <c r="G952" s="4">
        <f>E952/E951-1</f>
        <v/>
      </c>
    </row>
    <row r="953">
      <c r="A953" s="2" t="n">
        <v>45849</v>
      </c>
      <c r="B953" s="3" t="n">
        <v>25149.85</v>
      </c>
      <c r="C953" s="3" t="n">
        <v>25149.85</v>
      </c>
      <c r="D953" s="3" t="n">
        <v>1500.4</v>
      </c>
      <c r="E953" s="3" t="n">
        <v>1479.52</v>
      </c>
      <c r="F953" s="4">
        <f>C953/C952-1</f>
        <v/>
      </c>
      <c r="G953" s="4">
        <f>E953/E952-1</f>
        <v/>
      </c>
    </row>
    <row r="954">
      <c r="A954" s="2" t="n">
        <v>45852</v>
      </c>
      <c r="B954" s="3" t="n">
        <v>25082.3</v>
      </c>
      <c r="C954" s="3" t="n">
        <v>25082.3</v>
      </c>
      <c r="D954" s="3" t="n">
        <v>1482.2</v>
      </c>
      <c r="E954" s="3" t="n">
        <v>1461.57</v>
      </c>
      <c r="F954" s="4">
        <f>C954/C953-1</f>
        <v/>
      </c>
      <c r="G954" s="4">
        <f>E954/E953-1</f>
        <v/>
      </c>
    </row>
    <row r="955">
      <c r="A955" s="2" t="n">
        <v>45853</v>
      </c>
      <c r="B955" s="3" t="n">
        <v>25195.8</v>
      </c>
      <c r="C955" s="3" t="n">
        <v>25195.8</v>
      </c>
      <c r="D955" s="3" t="n">
        <v>1499.1</v>
      </c>
      <c r="E955" s="3" t="n">
        <v>1478.24</v>
      </c>
      <c r="F955" s="4">
        <f>C955/C954-1</f>
        <v/>
      </c>
      <c r="G955" s="4">
        <f>E955/E954-1</f>
        <v/>
      </c>
    </row>
    <row r="956">
      <c r="A956" s="2" t="n">
        <v>45854</v>
      </c>
      <c r="B956" s="3" t="n">
        <v>25212.05</v>
      </c>
      <c r="C956" s="3" t="n">
        <v>25212.05</v>
      </c>
      <c r="D956" s="3" t="n">
        <v>1494</v>
      </c>
      <c r="E956" s="3" t="n">
        <v>1473.21</v>
      </c>
      <c r="F956" s="4">
        <f>C956/C955-1</f>
        <v/>
      </c>
      <c r="G956" s="4">
        <f>E956/E955-1</f>
        <v/>
      </c>
    </row>
    <row r="957">
      <c r="A957" s="2" t="n">
        <v>45855</v>
      </c>
      <c r="B957" s="3" t="n">
        <v>25111.45</v>
      </c>
      <c r="C957" s="3" t="n">
        <v>25111.45</v>
      </c>
      <c r="D957" s="3" t="n">
        <v>1496.15</v>
      </c>
      <c r="E957" s="3" t="n">
        <v>1475.33</v>
      </c>
      <c r="F957" s="4">
        <f>C957/C956-1</f>
        <v/>
      </c>
      <c r="G957" s="4">
        <f>E957/E956-1</f>
        <v/>
      </c>
    </row>
    <row r="958">
      <c r="A958" s="2" t="n">
        <v>45856</v>
      </c>
      <c r="B958" s="3" t="n">
        <v>24968.4</v>
      </c>
      <c r="C958" s="3" t="n">
        <v>24968.4</v>
      </c>
      <c r="D958" s="3" t="n">
        <v>1479.05</v>
      </c>
      <c r="E958" s="3" t="n">
        <v>1458.47</v>
      </c>
      <c r="F958" s="4">
        <f>C958/C957-1</f>
        <v/>
      </c>
      <c r="G958" s="4">
        <f>E958/E957-1</f>
        <v/>
      </c>
    </row>
    <row r="959">
      <c r="A959" s="2" t="n">
        <v>45859</v>
      </c>
      <c r="B959" s="3" t="n">
        <v>25090.7</v>
      </c>
      <c r="C959" s="3" t="n">
        <v>25090.7</v>
      </c>
      <c r="D959" s="3" t="n">
        <v>1482.55</v>
      </c>
      <c r="E959" s="3" t="n">
        <v>1461.92</v>
      </c>
      <c r="F959" s="4">
        <f>C959/C958-1</f>
        <v/>
      </c>
      <c r="G959" s="4">
        <f>E959/E958-1</f>
        <v/>
      </c>
    </row>
    <row r="960">
      <c r="A960" s="2" t="n">
        <v>45860</v>
      </c>
      <c r="B960" s="3" t="n">
        <v>25060.9</v>
      </c>
      <c r="C960" s="3" t="n">
        <v>25060.9</v>
      </c>
      <c r="D960" s="3" t="n">
        <v>1467.15</v>
      </c>
      <c r="E960" s="3" t="n">
        <v>1446.73</v>
      </c>
      <c r="F960" s="4">
        <f>C960/C959-1</f>
        <v/>
      </c>
      <c r="G960" s="4">
        <f>E960/E959-1</f>
        <v/>
      </c>
    </row>
    <row r="961">
      <c r="A961" s="2" t="n">
        <v>45861</v>
      </c>
      <c r="B961" s="3" t="n">
        <v>25219.9</v>
      </c>
      <c r="C961" s="3" t="n">
        <v>25219.9</v>
      </c>
      <c r="D961" s="3" t="n">
        <v>1459.45</v>
      </c>
      <c r="E961" s="3" t="n">
        <v>1449.02</v>
      </c>
      <c r="F961" s="4">
        <f>C961/C960-1</f>
        <v/>
      </c>
      <c r="G961" s="4">
        <f>E961/E960-1</f>
        <v/>
      </c>
    </row>
    <row r="962">
      <c r="A962" s="2" t="n">
        <v>45862</v>
      </c>
      <c r="B962" s="3" t="n">
        <v>25062.1</v>
      </c>
      <c r="C962" s="3" t="n">
        <v>25062.1</v>
      </c>
      <c r="D962" s="3" t="n">
        <v>1453.95</v>
      </c>
      <c r="E962" s="3" t="n">
        <v>1443.56</v>
      </c>
      <c r="F962" s="4">
        <f>C962/C961-1</f>
        <v/>
      </c>
      <c r="G962" s="4">
        <f>E962/E961-1</f>
        <v/>
      </c>
    </row>
    <row r="963">
      <c r="A963" s="2" t="n">
        <v>45863</v>
      </c>
      <c r="B963" s="3" t="n">
        <v>24837</v>
      </c>
      <c r="C963" s="3" t="n">
        <v>24837</v>
      </c>
      <c r="D963" s="3" t="n">
        <v>1444.8</v>
      </c>
      <c r="E963" s="3" t="n">
        <v>1434.47</v>
      </c>
      <c r="F963" s="4">
        <f>C963/C962-1</f>
        <v/>
      </c>
      <c r="G963" s="4">
        <f>E963/E962-1</f>
        <v/>
      </c>
    </row>
    <row r="964">
      <c r="A964" s="2" t="n">
        <v>45866</v>
      </c>
      <c r="B964" s="3" t="n">
        <v>24680.9</v>
      </c>
      <c r="C964" s="3" t="n">
        <v>24680.9</v>
      </c>
      <c r="D964" s="3" t="n">
        <v>1439.4</v>
      </c>
      <c r="E964" s="3" t="n">
        <v>1429.11</v>
      </c>
      <c r="F964" s="4">
        <f>C964/C963-1</f>
        <v/>
      </c>
      <c r="G964" s="4">
        <f>E964/E963-1</f>
        <v/>
      </c>
    </row>
    <row r="965">
      <c r="A965" s="2" t="n">
        <v>45867</v>
      </c>
      <c r="B965" s="3" t="n">
        <v>24821.1</v>
      </c>
      <c r="C965" s="3" t="n">
        <v>24821.1</v>
      </c>
      <c r="D965" s="3" t="n">
        <v>1446.45</v>
      </c>
      <c r="E965" s="3" t="n">
        <v>1436.11</v>
      </c>
      <c r="F965" s="4">
        <f>C965/C964-1</f>
        <v/>
      </c>
      <c r="G965" s="4">
        <f>E965/E964-1</f>
        <v/>
      </c>
    </row>
    <row r="966">
      <c r="A966" s="2" t="n">
        <v>45868</v>
      </c>
      <c r="B966" s="3" t="n">
        <v>24855.05</v>
      </c>
      <c r="C966" s="3" t="n">
        <v>24855.05</v>
      </c>
      <c r="D966" s="3" t="n">
        <v>1437.05</v>
      </c>
      <c r="E966" s="3" t="n">
        <v>1426.78</v>
      </c>
      <c r="F966" s="4">
        <f>C966/C965-1</f>
        <v/>
      </c>
      <c r="G966" s="4">
        <f>E966/E965-1</f>
        <v/>
      </c>
    </row>
    <row r="967">
      <c r="A967" s="2" t="n">
        <v>45869</v>
      </c>
      <c r="B967" s="3" t="n">
        <v>24768.35</v>
      </c>
      <c r="C967" s="3" t="n">
        <v>24768.35</v>
      </c>
      <c r="D967" s="3" t="n">
        <v>1434.9</v>
      </c>
      <c r="E967" s="3" t="n">
        <v>1424.64</v>
      </c>
      <c r="F967" s="4">
        <f>C967/C966-1</f>
        <v/>
      </c>
      <c r="G967" s="4">
        <f>E967/E966-1</f>
        <v/>
      </c>
    </row>
    <row r="968">
      <c r="A968" s="2" t="n">
        <v>45870</v>
      </c>
      <c r="B968" s="3" t="n">
        <v>24565.35</v>
      </c>
      <c r="C968" s="3" t="n">
        <v>24565.35</v>
      </c>
      <c r="D968" s="3" t="n">
        <v>1429.45</v>
      </c>
      <c r="E968" s="3" t="n">
        <v>1419.23</v>
      </c>
      <c r="F968" s="4">
        <f>C968/C967-1</f>
        <v/>
      </c>
      <c r="G968" s="4">
        <f>E968/E967-1</f>
        <v/>
      </c>
    </row>
    <row r="969">
      <c r="A969" s="2" t="n">
        <v>45873</v>
      </c>
      <c r="B969" s="3" t="n">
        <v>24722.75</v>
      </c>
      <c r="C969" s="3" t="n">
        <v>24722.75</v>
      </c>
      <c r="D969" s="3" t="n">
        <v>1475.9</v>
      </c>
      <c r="E969" s="3" t="n">
        <v>1465.35</v>
      </c>
      <c r="F969" s="4">
        <f>C969/C968-1</f>
        <v/>
      </c>
      <c r="G969" s="4">
        <f>E969/E968-1</f>
        <v/>
      </c>
    </row>
    <row r="970">
      <c r="A970" s="2" t="n">
        <v>45874</v>
      </c>
      <c r="B970" s="3" t="n">
        <v>24649.55</v>
      </c>
      <c r="C970" s="3" t="n">
        <v>24649.55</v>
      </c>
      <c r="D970" s="3" t="n">
        <v>1498.8</v>
      </c>
      <c r="E970" s="3" t="n">
        <v>1488.08</v>
      </c>
      <c r="F970" s="4">
        <f>C970/C969-1</f>
        <v/>
      </c>
      <c r="G970" s="4">
        <f>E970/E969-1</f>
        <v/>
      </c>
    </row>
    <row r="971">
      <c r="A971" s="2" t="n">
        <v>45875</v>
      </c>
      <c r="B971" s="3" t="n">
        <v>24574.2</v>
      </c>
      <c r="C971" s="3" t="n">
        <v>24574.2</v>
      </c>
      <c r="D971" s="3" t="n">
        <v>1520.9</v>
      </c>
      <c r="E971" s="3" t="n">
        <v>1510.03</v>
      </c>
      <c r="F971" s="4">
        <f>C971/C970-1</f>
        <v/>
      </c>
      <c r="G971" s="4">
        <f>E971/E970-1</f>
        <v/>
      </c>
    </row>
    <row r="972">
      <c r="A972" s="2" t="n">
        <v>45876</v>
      </c>
      <c r="B972" s="3" t="n">
        <v>24596.15</v>
      </c>
      <c r="C972" s="3" t="n">
        <v>24596.15</v>
      </c>
      <c r="D972" s="3" t="n">
        <v>1525.4</v>
      </c>
      <c r="E972" s="3" t="n">
        <v>1514.49</v>
      </c>
      <c r="F972" s="4">
        <f>C972/C971-1</f>
        <v/>
      </c>
      <c r="G972" s="4">
        <f>E972/E971-1</f>
        <v/>
      </c>
    </row>
    <row r="973">
      <c r="A973" s="2" t="n">
        <v>45877</v>
      </c>
      <c r="B973" s="3" t="n">
        <v>24363.3</v>
      </c>
      <c r="C973" s="3" t="n">
        <v>24363.3</v>
      </c>
      <c r="D973" s="3" t="n">
        <v>1540.65</v>
      </c>
      <c r="E973" s="3" t="n">
        <v>1529.64</v>
      </c>
      <c r="F973" s="4">
        <f>C973/C972-1</f>
        <v/>
      </c>
      <c r="G973" s="4">
        <f>E973/E972-1</f>
        <v/>
      </c>
    </row>
    <row r="974">
      <c r="A974" s="2" t="n">
        <v>45880</v>
      </c>
      <c r="B974" s="3" t="n">
        <v>24585.05</v>
      </c>
      <c r="C974" s="3" t="n">
        <v>24585.05</v>
      </c>
      <c r="D974" s="3" t="n">
        <v>1548.4</v>
      </c>
      <c r="E974" s="3" t="n">
        <v>1537.33</v>
      </c>
      <c r="F974" s="4">
        <f>C974/C973-1</f>
        <v/>
      </c>
      <c r="G974" s="4">
        <f>E974/E973-1</f>
        <v/>
      </c>
    </row>
    <row r="975">
      <c r="A975" s="2" t="n">
        <v>45881</v>
      </c>
      <c r="B975" s="3" t="n">
        <v>24487.4</v>
      </c>
      <c r="C975" s="3" t="n">
        <v>24487.4</v>
      </c>
      <c r="D975" s="3" t="n">
        <v>1550.75</v>
      </c>
      <c r="E975" s="3" t="n">
        <v>1539.66</v>
      </c>
      <c r="F975" s="4">
        <f>C975/C974-1</f>
        <v/>
      </c>
      <c r="G975" s="4">
        <f>E975/E974-1</f>
        <v/>
      </c>
    </row>
    <row r="976">
      <c r="A976" s="2" t="n">
        <v>45882</v>
      </c>
      <c r="B976" s="3" t="n">
        <v>24619.35</v>
      </c>
      <c r="C976" s="3" t="n">
        <v>24619.35</v>
      </c>
      <c r="D976" s="3" t="n">
        <v>1530.95</v>
      </c>
      <c r="E976" s="3" t="n">
        <v>1520.01</v>
      </c>
      <c r="F976" s="4">
        <f>C976/C975-1</f>
        <v/>
      </c>
      <c r="G976" s="4">
        <f>E976/E975-1</f>
        <v/>
      </c>
    </row>
    <row r="977">
      <c r="A977" s="2" t="n">
        <v>45883</v>
      </c>
      <c r="B977" s="3" t="n">
        <v>24631.3</v>
      </c>
      <c r="C977" s="3" t="n">
        <v>24631.3</v>
      </c>
      <c r="D977" s="3" t="n">
        <v>1542.7</v>
      </c>
      <c r="E977" s="3" t="n">
        <v>1531.67</v>
      </c>
      <c r="F977" s="4">
        <f>C977/C976-1</f>
        <v/>
      </c>
      <c r="G977" s="4">
        <f>E977/E976-1</f>
        <v/>
      </c>
    </row>
    <row r="978">
      <c r="A978" s="2" t="n">
        <v>45887</v>
      </c>
      <c r="B978" s="3" t="n">
        <v>24876.95</v>
      </c>
      <c r="C978" s="3" t="n">
        <v>24876.95</v>
      </c>
      <c r="D978" s="3" t="n">
        <v>1538.45</v>
      </c>
      <c r="E978" s="3" t="n">
        <v>1527.45</v>
      </c>
      <c r="F978" s="4">
        <f>C978/C977-1</f>
        <v/>
      </c>
      <c r="G978" s="4">
        <f>E978/E977-1</f>
        <v/>
      </c>
    </row>
    <row r="979">
      <c r="A979" s="2" t="n">
        <v>45888</v>
      </c>
      <c r="B979" s="3" t="n">
        <v>24980.65</v>
      </c>
      <c r="C979" s="3" t="n">
        <v>24980.65</v>
      </c>
      <c r="D979" s="3" t="n">
        <v>1547.6</v>
      </c>
      <c r="E979" s="3" t="n">
        <v>1536.54</v>
      </c>
      <c r="F979" s="4">
        <f>C979/C978-1</f>
        <v/>
      </c>
      <c r="G979" s="4">
        <f>E979/E978-1</f>
        <v/>
      </c>
    </row>
    <row r="980">
      <c r="A980" s="2" t="n">
        <v>45889</v>
      </c>
      <c r="B980" s="3" t="n">
        <v>25050.55</v>
      </c>
      <c r="C980" s="3" t="n">
        <v>25050.55</v>
      </c>
      <c r="D980" s="3" t="n">
        <v>1542.3</v>
      </c>
      <c r="E980" s="3" t="n">
        <v>1531.27</v>
      </c>
      <c r="F980" s="4">
        <f>C980/C979-1</f>
        <v/>
      </c>
      <c r="G980" s="4">
        <f>E980/E979-1</f>
        <v/>
      </c>
    </row>
    <row r="981">
      <c r="A981" s="2" t="n">
        <v>45890</v>
      </c>
      <c r="B981" s="3" t="n">
        <v>25083.75</v>
      </c>
      <c r="C981" s="3" t="n">
        <v>25083.75</v>
      </c>
      <c r="D981" s="3" t="n">
        <v>1539.5</v>
      </c>
      <c r="E981" s="3" t="n">
        <v>1528.49</v>
      </c>
      <c r="F981" s="4">
        <f>C981/C980-1</f>
        <v/>
      </c>
      <c r="G981" s="4">
        <f>E981/E980-1</f>
        <v/>
      </c>
    </row>
    <row r="982">
      <c r="A982" s="2" t="n">
        <v>45891</v>
      </c>
      <c r="B982" s="3" t="n">
        <v>24870.1</v>
      </c>
      <c r="C982" s="3" t="n">
        <v>24870.1</v>
      </c>
      <c r="D982" s="3" t="n">
        <v>1543.6</v>
      </c>
      <c r="E982" s="3" t="n">
        <v>1532.56</v>
      </c>
      <c r="F982" s="4">
        <f>C982/C981-1</f>
        <v/>
      </c>
      <c r="G982" s="4">
        <f>E982/E981-1</f>
        <v/>
      </c>
    </row>
    <row r="983">
      <c r="A983" s="2" t="n">
        <v>45894</v>
      </c>
      <c r="B983" s="3" t="n">
        <v>24967.75</v>
      </c>
      <c r="C983" s="3" t="n">
        <v>24967.75</v>
      </c>
      <c r="D983" s="3" t="n">
        <v>1553.5</v>
      </c>
      <c r="E983" s="3" t="n">
        <v>1542.39</v>
      </c>
      <c r="F983" s="4">
        <f>C983/C982-1</f>
        <v/>
      </c>
      <c r="G983" s="4">
        <f>E983/E982-1</f>
        <v/>
      </c>
    </row>
    <row r="984">
      <c r="A984" s="2" t="n">
        <v>45895</v>
      </c>
      <c r="B984" s="3" t="n">
        <v>24712.05</v>
      </c>
      <c r="C984" s="3" t="n">
        <v>24712.05</v>
      </c>
      <c r="D984" s="3" t="n">
        <v>1550.2</v>
      </c>
      <c r="E984" s="3" t="n">
        <v>1539.12</v>
      </c>
      <c r="F984" s="4">
        <f>C984/C983-1</f>
        <v/>
      </c>
      <c r="G984" s="4">
        <f>E984/E983-1</f>
        <v/>
      </c>
    </row>
    <row r="985">
      <c r="A985" s="2" t="n">
        <v>45897</v>
      </c>
      <c r="B985" s="3" t="n">
        <v>24500.9</v>
      </c>
      <c r="C985" s="3" t="n">
        <v>24500.9</v>
      </c>
      <c r="D985" s="3" t="n">
        <v>1531.45</v>
      </c>
      <c r="E985" s="3" t="n">
        <v>1520.5</v>
      </c>
      <c r="F985" s="4">
        <f>C985/C984-1</f>
        <v/>
      </c>
      <c r="G985" s="4">
        <f>E985/E984-1</f>
        <v/>
      </c>
    </row>
    <row r="986">
      <c r="A986" s="2" t="n">
        <v>45898</v>
      </c>
      <c r="B986" s="3" t="n">
        <v>24426.85</v>
      </c>
      <c r="C986" s="3" t="n">
        <v>24426.85</v>
      </c>
      <c r="D986" s="3" t="n">
        <v>1525.15</v>
      </c>
      <c r="E986" s="3" t="n">
        <v>1514.25</v>
      </c>
      <c r="F986" s="4">
        <f>C986/C985-1</f>
        <v/>
      </c>
      <c r="G986" s="4">
        <f>E986/E985-1</f>
        <v/>
      </c>
    </row>
    <row r="987">
      <c r="A987" s="2" t="n">
        <v>45901</v>
      </c>
      <c r="B987" s="3" t="n">
        <v>24625.05</v>
      </c>
      <c r="C987" s="3" t="n">
        <v>24625.05</v>
      </c>
      <c r="D987" s="3" t="n">
        <v>1562.7</v>
      </c>
      <c r="E987" s="3" t="n">
        <v>1551.53</v>
      </c>
      <c r="F987" s="4">
        <f>C987/C986-1</f>
        <v/>
      </c>
      <c r="G987" s="4">
        <f>E987/E986-1</f>
        <v/>
      </c>
    </row>
    <row r="988">
      <c r="A988" s="2" t="n">
        <v>45902</v>
      </c>
      <c r="B988" s="3" t="n">
        <v>24579.6</v>
      </c>
      <c r="C988" s="3" t="n">
        <v>24579.6</v>
      </c>
      <c r="D988" s="3" t="n">
        <v>1563.5</v>
      </c>
      <c r="E988" s="3" t="n">
        <v>1552.32</v>
      </c>
      <c r="F988" s="4">
        <f>C988/C987-1</f>
        <v/>
      </c>
      <c r="G988" s="4">
        <f>E988/E987-1</f>
        <v/>
      </c>
    </row>
    <row r="989">
      <c r="A989" s="2" t="n">
        <v>45903</v>
      </c>
      <c r="B989" s="3" t="n">
        <v>24715.05</v>
      </c>
      <c r="C989" s="3" t="n">
        <v>24715.05</v>
      </c>
      <c r="D989" s="3" t="n">
        <v>1556</v>
      </c>
      <c r="E989" s="3" t="n">
        <v>1544.88</v>
      </c>
      <c r="F989" s="4">
        <f>C989/C988-1</f>
        <v/>
      </c>
      <c r="G989" s="4">
        <f>E989/E988-1</f>
        <v/>
      </c>
    </row>
    <row r="990">
      <c r="A990" s="2" t="n">
        <v>45904</v>
      </c>
      <c r="B990" s="3" t="n">
        <v>24734.3</v>
      </c>
      <c r="C990" s="3" t="n">
        <v>24734.3</v>
      </c>
      <c r="D990" s="3" t="n">
        <v>1559.55</v>
      </c>
      <c r="E990" s="3" t="n">
        <v>1548.4</v>
      </c>
      <c r="F990" s="4">
        <f>C990/C989-1</f>
        <v/>
      </c>
      <c r="G990" s="4">
        <f>E990/E989-1</f>
        <v/>
      </c>
    </row>
    <row r="991">
      <c r="A991" s="2" t="n">
        <v>45905</v>
      </c>
      <c r="B991" s="3" t="n">
        <v>24741</v>
      </c>
      <c r="C991" s="3" t="n">
        <v>24741</v>
      </c>
      <c r="D991" s="3" t="n">
        <v>1547.55</v>
      </c>
      <c r="E991" s="3" t="n">
        <v>1536.49</v>
      </c>
      <c r="F991" s="4">
        <f>C991/C990-1</f>
        <v/>
      </c>
      <c r="G991" s="4">
        <f>E991/E990-1</f>
        <v/>
      </c>
    </row>
    <row r="992">
      <c r="A992" s="2" t="n">
        <v>45908</v>
      </c>
      <c r="B992" s="3" t="n">
        <v>24773.15</v>
      </c>
      <c r="C992" s="3" t="n">
        <v>24773.15</v>
      </c>
      <c r="D992" s="3" t="n">
        <v>1551.9</v>
      </c>
      <c r="E992" s="3" t="n">
        <v>1540.81</v>
      </c>
      <c r="F992" s="4">
        <f>C992/C991-1</f>
        <v/>
      </c>
      <c r="G992" s="4">
        <f>E992/E991-1</f>
        <v/>
      </c>
    </row>
    <row r="993">
      <c r="A993" s="2" t="n">
        <v>45909</v>
      </c>
      <c r="B993" s="3" t="n">
        <v>24868.6</v>
      </c>
      <c r="C993" s="3" t="n">
        <v>24868.6</v>
      </c>
      <c r="D993" s="3" t="n">
        <v>1550.05</v>
      </c>
      <c r="E993" s="3" t="n">
        <v>1538.97</v>
      </c>
      <c r="F993" s="4">
        <f>C993/C992-1</f>
        <v/>
      </c>
      <c r="G993" s="4">
        <f>E993/E992-1</f>
        <v/>
      </c>
    </row>
    <row r="994">
      <c r="A994" s="2" t="n">
        <v>45910</v>
      </c>
      <c r="B994" s="3" t="n">
        <v>24973.1</v>
      </c>
      <c r="C994" s="3" t="n">
        <v>24973.1</v>
      </c>
      <c r="D994" s="3" t="n">
        <v>1535.3</v>
      </c>
      <c r="E994" s="3" t="n">
        <v>1524.32</v>
      </c>
      <c r="F994" s="4">
        <f>C994/C993-1</f>
        <v/>
      </c>
      <c r="G994" s="4">
        <f>E994/E993-1</f>
        <v/>
      </c>
    </row>
    <row r="995">
      <c r="A995" s="2" t="n">
        <v>45911</v>
      </c>
      <c r="B995" s="3" t="n">
        <v>25005.5</v>
      </c>
      <c r="C995" s="3" t="n">
        <v>25005.5</v>
      </c>
      <c r="D995" s="3" t="n">
        <v>1539.9</v>
      </c>
      <c r="E995" s="3" t="n">
        <v>1528.89</v>
      </c>
      <c r="F995" s="4">
        <f>C995/C994-1</f>
        <v/>
      </c>
      <c r="G995" s="4">
        <f>E995/E994-1</f>
        <v/>
      </c>
    </row>
    <row r="996">
      <c r="A996" s="2" t="n">
        <v>45912</v>
      </c>
      <c r="B996" s="3" t="n">
        <v>25114</v>
      </c>
      <c r="C996" s="3" t="n">
        <v>25114</v>
      </c>
      <c r="D996" s="3" t="n">
        <v>1539.45</v>
      </c>
      <c r="E996" s="3" t="n">
        <v>1528.44</v>
      </c>
      <c r="F996" s="4">
        <f>C996/C995-1</f>
        <v/>
      </c>
      <c r="G996" s="4">
        <f>E996/E995-1</f>
        <v/>
      </c>
    </row>
    <row r="997">
      <c r="A997" s="2" t="n">
        <v>45915</v>
      </c>
      <c r="B997" s="3" t="n">
        <v>25069.2</v>
      </c>
      <c r="C997" s="3" t="n">
        <v>25069.2</v>
      </c>
      <c r="D997" s="3" t="n">
        <v>1537.05</v>
      </c>
      <c r="E997" s="3" t="n">
        <v>1526.06</v>
      </c>
      <c r="F997" s="4">
        <f>C997/C996-1</f>
        <v/>
      </c>
      <c r="G997" s="4">
        <f>E997/E996-1</f>
        <v/>
      </c>
    </row>
    <row r="998">
      <c r="A998" s="2" t="n">
        <v>45916</v>
      </c>
      <c r="B998" s="3" t="n">
        <v>25239.1</v>
      </c>
      <c r="C998" s="3" t="n">
        <v>25239.1</v>
      </c>
      <c r="D998" s="3" t="n">
        <v>1537</v>
      </c>
      <c r="E998" s="3" t="n">
        <v>1526.01</v>
      </c>
      <c r="F998" s="4">
        <f>C998/C997-1</f>
        <v/>
      </c>
      <c r="G998" s="4">
        <f>E998/E997-1</f>
        <v/>
      </c>
    </row>
    <row r="999">
      <c r="A999" s="2" t="n">
        <v>45917</v>
      </c>
      <c r="B999" s="3" t="n">
        <v>25330.25</v>
      </c>
      <c r="C999" s="3" t="n">
        <v>25330.25</v>
      </c>
      <c r="D999" s="3" t="n">
        <v>1531</v>
      </c>
      <c r="E999" s="3" t="n">
        <v>1520.05</v>
      </c>
      <c r="F999" s="4">
        <f>C999/C998-1</f>
        <v/>
      </c>
      <c r="G999" s="4">
        <f>E999/E998-1</f>
        <v/>
      </c>
    </row>
    <row r="1000">
      <c r="A1000" s="2" t="n">
        <v>45918</v>
      </c>
      <c r="B1000" s="3" t="n">
        <v>25423.6</v>
      </c>
      <c r="C1000" s="3" t="n">
        <v>25423.6</v>
      </c>
      <c r="D1000" s="3" t="n">
        <v>1527.1</v>
      </c>
      <c r="E1000" s="3" t="n">
        <v>1516.18</v>
      </c>
      <c r="F1000" s="4">
        <f>C1000/C999-1</f>
        <v/>
      </c>
      <c r="G1000" s="4">
        <f>E1000/E999-1</f>
        <v/>
      </c>
    </row>
    <row r="1001">
      <c r="A1001" s="2" t="n">
        <v>45919</v>
      </c>
      <c r="B1001" s="3" t="n">
        <v>25327.05</v>
      </c>
      <c r="C1001" s="3" t="n">
        <v>25327.05</v>
      </c>
      <c r="D1001" s="3" t="n">
        <v>1524.15</v>
      </c>
      <c r="E1001" s="3" t="n">
        <v>1513.25</v>
      </c>
      <c r="F1001" s="4">
        <f>C1001/C1000-1</f>
        <v/>
      </c>
      <c r="G1001" s="4">
        <f>E1001/E1000-1</f>
        <v/>
      </c>
    </row>
    <row r="1002">
      <c r="A1002" s="2" t="n">
        <v>45922</v>
      </c>
      <c r="B1002" s="3" t="n">
        <v>25202.35</v>
      </c>
      <c r="C1002" s="3" t="n">
        <v>25202.35</v>
      </c>
      <c r="D1002" s="3" t="n">
        <v>1519</v>
      </c>
      <c r="E1002" s="3" t="n">
        <v>1508.14</v>
      </c>
      <c r="F1002" s="4">
        <f>C1002/C1001-1</f>
        <v/>
      </c>
      <c r="G1002" s="4">
        <f>E1002/E1001-1</f>
        <v/>
      </c>
    </row>
    <row r="1003">
      <c r="A1003" s="2" t="n">
        <v>45923</v>
      </c>
      <c r="B1003" s="3" t="n">
        <v>25169.5</v>
      </c>
      <c r="C1003" s="3" t="n">
        <v>25169.5</v>
      </c>
      <c r="D1003" s="3" t="n">
        <v>1489.3</v>
      </c>
      <c r="E1003" s="3" t="n">
        <v>1478.65</v>
      </c>
      <c r="F1003" s="4">
        <f>C1003/C1002-1</f>
        <v/>
      </c>
      <c r="G1003" s="4">
        <f>E1003/E1002-1</f>
        <v/>
      </c>
    </row>
    <row r="1004">
      <c r="A1004" s="2" t="n">
        <v>45924</v>
      </c>
      <c r="B1004" s="3" t="n">
        <v>25056.9</v>
      </c>
      <c r="C1004" s="3" t="n">
        <v>25056.9</v>
      </c>
      <c r="D1004" s="3" t="n">
        <v>1519.5</v>
      </c>
      <c r="E1004" s="3" t="n">
        <v>1508.64</v>
      </c>
      <c r="F1004" s="4">
        <f>C1004/C1003-1</f>
        <v/>
      </c>
      <c r="G1004" s="4">
        <f>E1004/E1003-1</f>
        <v/>
      </c>
    </row>
    <row r="1005">
      <c r="A1005" s="2" t="n">
        <v>45925</v>
      </c>
      <c r="B1005" s="3" t="n">
        <v>24890.85</v>
      </c>
      <c r="C1005" s="3" t="n">
        <v>24890.85</v>
      </c>
      <c r="D1005" s="3" t="n">
        <v>1495.7</v>
      </c>
      <c r="E1005" s="3" t="n">
        <v>1485.01</v>
      </c>
      <c r="F1005" s="4">
        <f>C1005/C1004-1</f>
        <v/>
      </c>
      <c r="G1005" s="4">
        <f>E1005/E1004-1</f>
        <v/>
      </c>
    </row>
    <row r="1006">
      <c r="A1006" s="2" t="n">
        <v>45926</v>
      </c>
      <c r="B1006" s="3" t="n">
        <v>24654.7</v>
      </c>
      <c r="C1006" s="3" t="n">
        <v>24654.7</v>
      </c>
      <c r="D1006" s="3" t="n">
        <v>1474.8</v>
      </c>
      <c r="E1006" s="3" t="n">
        <v>1464.26</v>
      </c>
      <c r="F1006" s="4">
        <f>C1006/C1005-1</f>
        <v/>
      </c>
      <c r="G1006" s="4">
        <f>E1006/E1005-1</f>
        <v/>
      </c>
    </row>
    <row r="1007">
      <c r="A1007" s="2" t="n">
        <v>45929</v>
      </c>
      <c r="B1007" s="3" t="n">
        <v>24634.9</v>
      </c>
      <c r="C1007" s="3" t="n">
        <v>24634.9</v>
      </c>
      <c r="D1007" s="3" t="n">
        <v>1466.8</v>
      </c>
      <c r="E1007" s="3" t="n">
        <v>1456.31</v>
      </c>
      <c r="F1007" s="4">
        <f>C1007/C1006-1</f>
        <v/>
      </c>
      <c r="G1007" s="4">
        <f>E1007/E1006-1</f>
        <v/>
      </c>
    </row>
    <row r="1008">
      <c r="A1008" s="2" t="n">
        <v>45930</v>
      </c>
      <c r="B1008" s="3" t="n">
        <v>24611.1</v>
      </c>
      <c r="C1008" s="3" t="n">
        <v>24611.1</v>
      </c>
      <c r="D1008" s="3" t="n">
        <v>1468</v>
      </c>
      <c r="E1008" s="3" t="n">
        <v>1457.51</v>
      </c>
      <c r="F1008" s="4">
        <f>C1008/C1007-1</f>
        <v/>
      </c>
      <c r="G1008" s="4">
        <f>E1008/E1007-1</f>
        <v/>
      </c>
    </row>
    <row r="1009">
      <c r="A1009" s="2" t="n">
        <v>45931</v>
      </c>
      <c r="B1009" s="3" t="n">
        <v>24836.3</v>
      </c>
      <c r="C1009" s="3" t="n">
        <v>24836.3</v>
      </c>
      <c r="D1009" s="3" t="n">
        <v>1475.4</v>
      </c>
      <c r="E1009" s="3" t="n">
        <v>1464.85</v>
      </c>
      <c r="F1009" s="4">
        <f>C1009/C1008-1</f>
        <v/>
      </c>
      <c r="G1009" s="4">
        <f>E1009/E1008-1</f>
        <v/>
      </c>
    </row>
    <row r="1010">
      <c r="A1010" s="2" t="n">
        <v>45933</v>
      </c>
      <c r="B1010" s="3" t="n">
        <v>24894.25</v>
      </c>
      <c r="C1010" s="3" t="n">
        <v>24894.25</v>
      </c>
      <c r="D1010" s="3" t="n">
        <v>1489.6</v>
      </c>
      <c r="E1010" s="3" t="n">
        <v>1478.95</v>
      </c>
      <c r="F1010" s="4">
        <f>C1010/C1009-1</f>
        <v/>
      </c>
      <c r="G1010" s="4">
        <f>E1010/E1009-1</f>
        <v/>
      </c>
    </row>
    <row r="1011">
      <c r="A1011" s="2" t="n">
        <v>45936</v>
      </c>
      <c r="B1011" s="3" t="n">
        <v>25077.65</v>
      </c>
      <c r="C1011" s="3" t="n">
        <v>25077.65</v>
      </c>
      <c r="D1011" s="3" t="n">
        <v>1489</v>
      </c>
      <c r="E1011" s="3" t="n">
        <v>1478.35</v>
      </c>
      <c r="F1011" s="4">
        <f>C1011/C1010-1</f>
        <v/>
      </c>
      <c r="G1011" s="4">
        <f>E1011/E1010-1</f>
        <v/>
      </c>
    </row>
    <row r="1012">
      <c r="A1012" s="2" t="n">
        <v>45937</v>
      </c>
      <c r="B1012" s="3" t="n">
        <v>25108.3</v>
      </c>
      <c r="C1012" s="3" t="n">
        <v>25108.3</v>
      </c>
      <c r="D1012" s="3" t="n">
        <v>1470.9</v>
      </c>
      <c r="E1012" s="3" t="n">
        <v>1460.38</v>
      </c>
      <c r="F1012" s="4">
        <f>C1012/C1011-1</f>
        <v/>
      </c>
      <c r="G1012" s="4">
        <f>E1012/E1011-1</f>
        <v/>
      </c>
    </row>
    <row r="1013">
      <c r="A1013" s="2" t="n">
        <v>45938</v>
      </c>
      <c r="B1013" s="3" t="n">
        <v>25046.15</v>
      </c>
      <c r="C1013" s="3" t="n">
        <v>25046.15</v>
      </c>
      <c r="D1013" s="3" t="n">
        <v>1493.7</v>
      </c>
      <c r="E1013" s="3" t="n">
        <v>1483.02</v>
      </c>
      <c r="F1013" s="4">
        <f>C1013/C1012-1</f>
        <v/>
      </c>
      <c r="G1013" s="4">
        <f>E1013/E1012-1</f>
        <v/>
      </c>
    </row>
    <row r="1014">
      <c r="A1014" s="2" t="n">
        <v>45939</v>
      </c>
      <c r="B1014" s="3" t="n">
        <v>25181.8</v>
      </c>
      <c r="C1014" s="3" t="n">
        <v>25181.8</v>
      </c>
      <c r="D1014" s="3" t="n">
        <v>1510.4</v>
      </c>
      <c r="E1014" s="3" t="n">
        <v>1499.6</v>
      </c>
      <c r="F1014" s="4">
        <f>C1014/C1013-1</f>
        <v/>
      </c>
      <c r="G1014" s="4">
        <f>E1014/E1013-1</f>
        <v/>
      </c>
    </row>
    <row r="1015">
      <c r="A1015" s="2" t="n">
        <v>45940</v>
      </c>
      <c r="B1015" s="3" t="n">
        <v>25285.35</v>
      </c>
      <c r="C1015" s="3" t="n">
        <v>25285.35</v>
      </c>
      <c r="D1015" s="3" t="n">
        <v>1510.6</v>
      </c>
      <c r="E1015" s="3" t="n">
        <v>1499.8</v>
      </c>
      <c r="F1015" s="4">
        <f>C1015/C1014-1</f>
        <v/>
      </c>
      <c r="G1015" s="4">
        <f>E1015/E1014-1</f>
        <v/>
      </c>
    </row>
    <row r="1016">
      <c r="A1016" s="2" t="n">
        <v>45943</v>
      </c>
      <c r="B1016" s="3" t="n">
        <v>25227.35</v>
      </c>
      <c r="C1016" s="3" t="n">
        <v>25227.35</v>
      </c>
      <c r="D1016" s="3" t="n">
        <v>1513.5</v>
      </c>
      <c r="E1016" s="3" t="n">
        <v>1502.68</v>
      </c>
      <c r="F1016" s="4">
        <f>C1016/C1015-1</f>
        <v/>
      </c>
      <c r="G1016" s="4">
        <f>E1016/E1015-1</f>
        <v/>
      </c>
    </row>
    <row r="1017">
      <c r="A1017" s="2" t="n">
        <v>45944</v>
      </c>
      <c r="B1017" s="3" t="n">
        <v>25145.5</v>
      </c>
      <c r="C1017" s="3" t="n">
        <v>25145.5</v>
      </c>
      <c r="D1017" s="3" t="n">
        <v>1491.2</v>
      </c>
      <c r="E1017" s="3" t="n">
        <v>1480.54</v>
      </c>
      <c r="F1017" s="4">
        <f>C1017/C1016-1</f>
        <v/>
      </c>
      <c r="G1017" s="4">
        <f>E1017/E1016-1</f>
        <v/>
      </c>
    </row>
    <row r="1018">
      <c r="A1018" s="2" t="n">
        <v>45945</v>
      </c>
      <c r="B1018" s="3" t="n">
        <v>25323.55</v>
      </c>
      <c r="C1018" s="3" t="n">
        <v>25323.55</v>
      </c>
      <c r="D1018" s="3" t="n">
        <v>1500.8</v>
      </c>
      <c r="E1018" s="3" t="n">
        <v>1490.07</v>
      </c>
      <c r="F1018" s="4">
        <f>C1018/C1017-1</f>
        <v/>
      </c>
      <c r="G1018" s="4">
        <f>E1018/E1017-1</f>
        <v/>
      </c>
    </row>
    <row r="1019">
      <c r="A1019" s="2" t="n">
        <v>45946</v>
      </c>
      <c r="B1019" s="3" t="n">
        <v>25585.3</v>
      </c>
      <c r="C1019" s="3" t="n">
        <v>25585.3</v>
      </c>
      <c r="D1019" s="3" t="n">
        <v>1523</v>
      </c>
      <c r="E1019" s="3" t="n">
        <v>1512.11</v>
      </c>
      <c r="F1019" s="4">
        <f>C1019/C1018-1</f>
        <v/>
      </c>
      <c r="G1019" s="4">
        <f>E1019/E1018-1</f>
        <v/>
      </c>
    </row>
    <row r="1020">
      <c r="A1020" s="2" t="n">
        <v>45947</v>
      </c>
      <c r="B1020" s="3" t="n">
        <v>25709.85</v>
      </c>
      <c r="C1020" s="3" t="n">
        <v>25709.85</v>
      </c>
      <c r="D1020" s="3" t="n">
        <v>1542.7</v>
      </c>
      <c r="E1020" s="3" t="n">
        <v>1531.67</v>
      </c>
      <c r="F1020" s="4">
        <f>C1020/C1019-1</f>
        <v/>
      </c>
      <c r="G1020" s="4">
        <f>E1020/E1019-1</f>
        <v/>
      </c>
    </row>
    <row r="1021">
      <c r="A1021" s="2" t="n">
        <v>45950</v>
      </c>
      <c r="B1021" s="3" t="n">
        <v>25843.15</v>
      </c>
      <c r="C1021" s="3" t="n">
        <v>25843.15</v>
      </c>
      <c r="D1021" s="3" t="n">
        <v>1526.3</v>
      </c>
      <c r="E1021" s="3" t="n">
        <v>1515.39</v>
      </c>
      <c r="F1021" s="4">
        <f>C1021/C1020-1</f>
        <v/>
      </c>
      <c r="G1021" s="4">
        <f>E1021/E1020-1</f>
        <v/>
      </c>
    </row>
    <row r="1022">
      <c r="A1022" s="2" t="n">
        <v>45951</v>
      </c>
      <c r="B1022" s="3" t="n">
        <v>25868.6</v>
      </c>
      <c r="C1022" s="3" t="n">
        <v>25868.6</v>
      </c>
      <c r="D1022" s="3" t="n">
        <v>1532</v>
      </c>
      <c r="E1022" s="3" t="n">
        <v>1521.05</v>
      </c>
      <c r="F1022" s="4">
        <f>C1022/C1021-1</f>
        <v/>
      </c>
      <c r="G1022" s="4">
        <f>E1022/E1021-1</f>
        <v/>
      </c>
    </row>
    <row r="1023">
      <c r="A1023" s="2" t="n">
        <v>45953</v>
      </c>
      <c r="B1023" s="3" t="n">
        <v>25891.4</v>
      </c>
      <c r="C1023" s="3" t="n">
        <v>25891.4</v>
      </c>
      <c r="D1023" s="3" t="n">
        <v>1517.1</v>
      </c>
      <c r="E1023" s="3" t="n">
        <v>1506.25</v>
      </c>
      <c r="F1023" s="4">
        <f>C1023/C1022-1</f>
        <v/>
      </c>
      <c r="G1023" s="4">
        <f>E1023/E1022-1</f>
        <v/>
      </c>
    </row>
    <row r="1024">
      <c r="A1024" s="2" t="n">
        <v>45954</v>
      </c>
      <c r="B1024" s="3" t="n">
        <v>25795.15</v>
      </c>
      <c r="C1024" s="3" t="n">
        <v>25795.15</v>
      </c>
      <c r="D1024" s="3" t="n">
        <v>1507.1</v>
      </c>
      <c r="E1024" s="3" t="n">
        <v>1496.33</v>
      </c>
      <c r="F1024" s="4">
        <f>C1024/C1023-1</f>
        <v/>
      </c>
      <c r="G1024" s="4">
        <f>E1024/E1023-1</f>
        <v/>
      </c>
    </row>
    <row r="1025">
      <c r="A1025" s="2" t="n">
        <v>45957</v>
      </c>
      <c r="B1025" s="3" t="n">
        <v>25966.05</v>
      </c>
      <c r="C1025" s="3" t="n">
        <v>25966.05</v>
      </c>
      <c r="D1025" s="3" t="n">
        <v>1504.4</v>
      </c>
      <c r="E1025" s="3" t="n">
        <v>1493.64</v>
      </c>
      <c r="F1025" s="4">
        <f>C1025/C1024-1</f>
        <v/>
      </c>
      <c r="G1025" s="4">
        <f>E1025/E1024-1</f>
        <v/>
      </c>
    </row>
    <row r="1026">
      <c r="A1026" s="2" t="n">
        <v>45958</v>
      </c>
      <c r="B1026" s="3" t="n">
        <v>25936.2</v>
      </c>
      <c r="C1026" s="3" t="n">
        <v>25936.2</v>
      </c>
      <c r="D1026" s="3" t="n">
        <v>1492</v>
      </c>
      <c r="E1026" s="3" t="n">
        <v>1481.33</v>
      </c>
      <c r="F1026" s="4">
        <f>C1026/C1025-1</f>
        <v/>
      </c>
      <c r="G1026" s="4">
        <f>E1026/E1025-1</f>
        <v/>
      </c>
    </row>
    <row r="1027">
      <c r="A1027" s="2" t="n">
        <v>45959</v>
      </c>
      <c r="B1027" s="3" t="n">
        <v>26053.9</v>
      </c>
      <c r="C1027" s="3" t="n">
        <v>26053.9</v>
      </c>
      <c r="D1027" s="3" t="n">
        <v>1507.3</v>
      </c>
      <c r="E1027" s="3" t="n">
        <v>1496.52</v>
      </c>
      <c r="F1027" s="4">
        <f>C1027/C1026-1</f>
        <v/>
      </c>
      <c r="G1027" s="4">
        <f>E1027/E1026-1</f>
        <v/>
      </c>
    </row>
    <row r="1028">
      <c r="A1028" s="2" t="n">
        <v>45960</v>
      </c>
      <c r="B1028" s="3" t="n">
        <v>25877.85</v>
      </c>
      <c r="C1028" s="3" t="n">
        <v>25877.85</v>
      </c>
      <c r="D1028" s="3" t="n">
        <v>1486.4</v>
      </c>
      <c r="E1028" s="3" t="n">
        <v>1475.77</v>
      </c>
      <c r="F1028" s="4">
        <f>C1028/C1027-1</f>
        <v/>
      </c>
      <c r="G1028" s="4">
        <f>E1028/E1027-1</f>
        <v/>
      </c>
    </row>
    <row r="1029">
      <c r="A1029" s="2" t="n">
        <v>45961</v>
      </c>
      <c r="B1029" s="3" t="n">
        <v>25722.1</v>
      </c>
      <c r="C1029" s="3" t="n">
        <v>25722.1</v>
      </c>
      <c r="D1029" s="3" t="n">
        <v>1444.6</v>
      </c>
      <c r="E1029" s="3" t="n">
        <v>1434.27</v>
      </c>
      <c r="F1029" s="4">
        <f>C1029/C1028-1</f>
        <v/>
      </c>
      <c r="G1029" s="4">
        <f>E1029/E1028-1</f>
        <v/>
      </c>
    </row>
    <row r="1030">
      <c r="A1030" s="2" t="n">
        <v>45964</v>
      </c>
      <c r="B1030" s="3" t="n">
        <v>25763.35</v>
      </c>
      <c r="C1030" s="3" t="n">
        <v>25763.35</v>
      </c>
      <c r="D1030" s="3" t="n">
        <v>1460.5</v>
      </c>
      <c r="E1030" s="3" t="n">
        <v>1450.06</v>
      </c>
      <c r="F1030" s="4">
        <f>C1030/C1029-1</f>
        <v/>
      </c>
      <c r="G1030" s="4">
        <f>E1030/E1029-1</f>
        <v/>
      </c>
    </row>
    <row r="1031">
      <c r="A1031" s="2" t="n">
        <v>45965</v>
      </c>
      <c r="B1031" s="3" t="n">
        <v>25597.65</v>
      </c>
      <c r="C1031" s="3" t="n">
        <v>25597.65</v>
      </c>
      <c r="D1031" s="3" t="n">
        <v>1455.2</v>
      </c>
      <c r="E1031" s="3" t="n">
        <v>1444.8</v>
      </c>
      <c r="F1031" s="4">
        <f>C1031/C1030-1</f>
        <v/>
      </c>
      <c r="G1031" s="4">
        <f>E1031/E1030-1</f>
        <v/>
      </c>
    </row>
    <row r="1032">
      <c r="A1032" s="2" t="n">
        <v>45967</v>
      </c>
      <c r="B1032" s="3" t="n">
        <v>25509.7</v>
      </c>
      <c r="C1032" s="3" t="n">
        <v>25509.7</v>
      </c>
      <c r="D1032" s="3" t="n">
        <v>1442.8</v>
      </c>
      <c r="E1032" s="3" t="n">
        <v>1432.49</v>
      </c>
      <c r="F1032" s="4">
        <f>C1032/C1031-1</f>
        <v/>
      </c>
      <c r="G1032" s="4">
        <f>E1032/E1031-1</f>
        <v/>
      </c>
    </row>
    <row r="1033">
      <c r="A1033" s="2" t="n">
        <v>45968</v>
      </c>
      <c r="B1033" s="3" t="n">
        <v>25492.3</v>
      </c>
      <c r="C1033" s="3" t="n">
        <v>25492.3</v>
      </c>
      <c r="D1033" s="3" t="n">
        <v>1454.8</v>
      </c>
      <c r="E1033" s="3" t="n">
        <v>1444.4</v>
      </c>
      <c r="F1033" s="4">
        <f>C1033/C1032-1</f>
        <v/>
      </c>
      <c r="G1033" s="4">
        <f>E1033/E1032-1</f>
        <v/>
      </c>
    </row>
    <row r="1034">
      <c r="A1034" s="2" t="n">
        <v>45971</v>
      </c>
      <c r="B1034" s="3" t="n">
        <v>25574.35</v>
      </c>
      <c r="C1034" s="3" t="n">
        <v>25574.35</v>
      </c>
      <c r="D1034" s="3" t="n">
        <v>1456.6</v>
      </c>
      <c r="E1034" s="3" t="n">
        <v>1446.19</v>
      </c>
      <c r="F1034" s="4">
        <f>C1034/C1033-1</f>
        <v/>
      </c>
      <c r="G1034" s="4">
        <f>E1034/E1033-1</f>
        <v/>
      </c>
    </row>
    <row r="1035">
      <c r="A1035" s="2" t="n">
        <v>45972</v>
      </c>
      <c r="B1035" s="3" t="n">
        <v>25694.95</v>
      </c>
      <c r="C1035" s="3" t="n">
        <v>25694.95</v>
      </c>
      <c r="D1035" s="3" t="n">
        <v>1472.9</v>
      </c>
      <c r="E1035" s="3" t="n">
        <v>1462.37</v>
      </c>
      <c r="F1035" s="4">
        <f>C1035/C1034-1</f>
        <v/>
      </c>
      <c r="G1035" s="4">
        <f>E1035/E1034-1</f>
        <v/>
      </c>
    </row>
    <row r="1036">
      <c r="A1036" s="2" t="n">
        <v>45973</v>
      </c>
      <c r="B1036" s="3" t="n">
        <v>25875.8</v>
      </c>
      <c r="C1036" s="3" t="n">
        <v>25875.8</v>
      </c>
      <c r="D1036" s="3" t="n">
        <v>1482</v>
      </c>
      <c r="E1036" s="3" t="n">
        <v>1471.41</v>
      </c>
      <c r="F1036" s="4">
        <f>C1036/C1035-1</f>
        <v/>
      </c>
      <c r="G1036" s="4">
        <f>E1036/E1035-1</f>
        <v/>
      </c>
    </row>
    <row r="1037">
      <c r="A1037" s="2" t="n">
        <v>45974</v>
      </c>
      <c r="B1037" s="3" t="n">
        <v>25879.15</v>
      </c>
      <c r="C1037" s="3" t="n">
        <v>25879.15</v>
      </c>
      <c r="D1037" s="3" t="n">
        <v>1481.4</v>
      </c>
      <c r="E1037" s="3" t="n">
        <v>1470.81</v>
      </c>
      <c r="F1037" s="4">
        <f>C1037/C1036-1</f>
        <v/>
      </c>
      <c r="G1037" s="4">
        <f>E1037/E1036-1</f>
        <v/>
      </c>
    </row>
    <row r="1038">
      <c r="A1038" s="2" t="n">
        <v>45975</v>
      </c>
      <c r="B1038" s="3" t="n">
        <v>25910.05</v>
      </c>
      <c r="C1038" s="3" t="n">
        <v>25910.05</v>
      </c>
      <c r="D1038" s="3" t="n">
        <v>1459.8</v>
      </c>
      <c r="E1038" s="3" t="n">
        <v>1449.36</v>
      </c>
      <c r="F1038" s="4">
        <f>C1038/C1037-1</f>
        <v/>
      </c>
      <c r="G1038" s="4">
        <f>E1038/E1037-1</f>
        <v/>
      </c>
    </row>
    <row r="1039">
      <c r="A1039" s="2" t="n">
        <v>45978</v>
      </c>
      <c r="B1039" s="3" t="n">
        <v>26013.45</v>
      </c>
      <c r="C1039" s="3" t="n">
        <v>26013.45</v>
      </c>
      <c r="D1039" s="3" t="n">
        <v>1475.5</v>
      </c>
      <c r="E1039" s="3" t="n">
        <v>1464.95</v>
      </c>
      <c r="F1039" s="4">
        <f>C1039/C1038-1</f>
        <v/>
      </c>
      <c r="G1039" s="4">
        <f>E1039/E1038-1</f>
        <v/>
      </c>
    </row>
    <row r="1040">
      <c r="A1040" s="2" t="n">
        <v>45979</v>
      </c>
      <c r="B1040" s="3" t="n">
        <v>25910.05</v>
      </c>
      <c r="C1040" s="3" t="n">
        <v>25910.05</v>
      </c>
      <c r="D1040" s="3" t="n">
        <v>1491</v>
      </c>
      <c r="E1040" s="3" t="n">
        <v>1480.34</v>
      </c>
      <c r="F1040" s="4">
        <f>C1040/C1039-1</f>
        <v/>
      </c>
      <c r="G1040" s="4">
        <f>E1040/E1039-1</f>
        <v/>
      </c>
    </row>
    <row r="1041">
      <c r="A1041" s="2" t="n">
        <v>45980</v>
      </c>
      <c r="B1041" s="3" t="n">
        <v>26052.65</v>
      </c>
      <c r="C1041" s="3" t="n">
        <v>26052.65</v>
      </c>
      <c r="D1041" s="3" t="n">
        <v>1476.7</v>
      </c>
      <c r="E1041" s="3" t="n">
        <v>1466.14</v>
      </c>
      <c r="F1041" s="4">
        <f>C1041/C1040-1</f>
        <v/>
      </c>
      <c r="G1041" s="4">
        <f>E1041/E1040-1</f>
        <v/>
      </c>
    </row>
    <row r="1042">
      <c r="A1042" s="2" t="n">
        <v>45981</v>
      </c>
      <c r="B1042" s="3" t="n">
        <v>26192.15</v>
      </c>
      <c r="C1042" s="3" t="n">
        <v>26192.15</v>
      </c>
      <c r="D1042" s="3" t="n">
        <v>1489</v>
      </c>
      <c r="E1042" s="3" t="n">
        <v>1478.35</v>
      </c>
      <c r="F1042" s="4">
        <f>C1042/C1041-1</f>
        <v/>
      </c>
      <c r="G1042" s="4">
        <f>E1042/E1041-1</f>
        <v/>
      </c>
    </row>
    <row r="1043">
      <c r="A1043" s="2" t="n">
        <v>45982</v>
      </c>
      <c r="B1043" s="3" t="n">
        <v>26068.15</v>
      </c>
      <c r="C1043" s="3" t="n">
        <v>26068.15</v>
      </c>
      <c r="D1043" s="3" t="n">
        <v>1472.1</v>
      </c>
      <c r="E1043" s="3" t="n">
        <v>1461.58</v>
      </c>
      <c r="F1043" s="4">
        <f>C1043/C1042-1</f>
        <v/>
      </c>
      <c r="G1043" s="4">
        <f>E1043/E1042-1</f>
        <v/>
      </c>
    </row>
    <row r="1044">
      <c r="A1044" s="2" t="n">
        <v>45985</v>
      </c>
      <c r="B1044" s="3" t="n">
        <v>25959.5</v>
      </c>
      <c r="C1044" s="3" t="n">
        <v>25959.5</v>
      </c>
      <c r="D1044" s="3" t="n">
        <v>1463</v>
      </c>
      <c r="E1044" s="3" t="n">
        <v>1452.54</v>
      </c>
      <c r="F1044" s="4">
        <f>C1044/C1043-1</f>
        <v/>
      </c>
      <c r="G1044" s="4">
        <f>E1044/E1043-1</f>
        <v/>
      </c>
    </row>
    <row r="1045">
      <c r="A1045" s="2" t="n">
        <v>45986</v>
      </c>
      <c r="B1045" s="3" t="n">
        <v>25884.8</v>
      </c>
      <c r="C1045" s="3" t="n">
        <v>25884.8</v>
      </c>
      <c r="D1045" s="3" t="n">
        <v>1466.6</v>
      </c>
      <c r="E1045" s="3" t="n">
        <v>1456.12</v>
      </c>
      <c r="F1045" s="4">
        <f>C1045/C1044-1</f>
        <v/>
      </c>
      <c r="G1045" s="4">
        <f>E1045/E1044-1</f>
        <v/>
      </c>
    </row>
    <row r="1046">
      <c r="A1046" s="2" t="n">
        <v>45987</v>
      </c>
      <c r="B1046" s="3" t="n">
        <v>26205.3</v>
      </c>
      <c r="C1046" s="3" t="n">
        <v>26205.3</v>
      </c>
      <c r="D1046" s="3" t="n">
        <v>1484.4</v>
      </c>
      <c r="E1046" s="3" t="n">
        <v>1473.79</v>
      </c>
      <c r="F1046" s="4">
        <f>C1046/C1045-1</f>
        <v/>
      </c>
      <c r="G1046" s="4">
        <f>E1046/E1045-1</f>
        <v/>
      </c>
    </row>
    <row r="1047">
      <c r="A1047" s="2" t="n">
        <v>45988</v>
      </c>
      <c r="B1047" s="3" t="n">
        <v>26215.55</v>
      </c>
      <c r="C1047" s="3" t="n">
        <v>26215.55</v>
      </c>
      <c r="D1047" s="3" t="n">
        <v>1472.3</v>
      </c>
      <c r="E1047" s="3" t="n">
        <v>1461.77</v>
      </c>
      <c r="F1047" s="4">
        <f>C1047/C1046-1</f>
        <v/>
      </c>
      <c r="G1047" s="4">
        <f>E1047/E1046-1</f>
        <v/>
      </c>
    </row>
    <row r="1048">
      <c r="A1048" s="2" t="n">
        <v>45989</v>
      </c>
      <c r="B1048" s="3" t="n">
        <v>26202.95</v>
      </c>
      <c r="C1048" s="3" t="n">
        <v>26202.95</v>
      </c>
      <c r="D1048" s="3" t="n">
        <v>1469.8</v>
      </c>
      <c r="E1048" s="3" t="n">
        <v>1459.29</v>
      </c>
      <c r="F1048" s="4">
        <f>C1048/C1047-1</f>
        <v/>
      </c>
      <c r="G1048" s="4">
        <f>E1048/E1047-1</f>
        <v/>
      </c>
    </row>
    <row r="1049">
      <c r="A1049" s="2" t="n">
        <v>45992</v>
      </c>
      <c r="B1049" s="3" t="n">
        <v>26175.75</v>
      </c>
      <c r="C1049" s="3" t="n">
        <v>26175.75</v>
      </c>
      <c r="D1049" s="3" t="n">
        <v>1468.6</v>
      </c>
      <c r="E1049" s="3" t="n">
        <v>1458.1</v>
      </c>
      <c r="F1049" s="4">
        <f>C1049/C1048-1</f>
        <v/>
      </c>
      <c r="G1049" s="4">
        <f>E1049/E1048-1</f>
        <v/>
      </c>
    </row>
    <row r="1050">
      <c r="A1050" s="2" t="n">
        <v>45993</v>
      </c>
      <c r="B1050" s="3" t="n">
        <v>26032.2</v>
      </c>
      <c r="C1050" s="3" t="n">
        <v>26032.2</v>
      </c>
      <c r="D1050" s="3" t="n">
        <v>1468.9</v>
      </c>
      <c r="E1050" s="3" t="n">
        <v>1458.4</v>
      </c>
      <c r="F1050" s="4">
        <f>C1050/C1049-1</f>
        <v/>
      </c>
      <c r="G1050" s="4">
        <f>E1050/E1049-1</f>
        <v/>
      </c>
    </row>
    <row r="1051">
      <c r="A1051" s="2" t="n">
        <v>45994</v>
      </c>
      <c r="B1051" s="3" t="n">
        <v>25986</v>
      </c>
      <c r="C1051" s="3" t="n">
        <v>25986</v>
      </c>
      <c r="D1051" s="3" t="n">
        <v>1478.6</v>
      </c>
      <c r="E1051" s="3" t="n">
        <v>1468.03</v>
      </c>
      <c r="F1051" s="4">
        <f>C1051/C1050-1</f>
        <v/>
      </c>
      <c r="G1051" s="4">
        <f>E1051/E1050-1</f>
        <v/>
      </c>
    </row>
    <row r="1052">
      <c r="A1052" s="2" t="n">
        <v>45995</v>
      </c>
      <c r="B1052" s="3" t="n">
        <v>26033.75</v>
      </c>
      <c r="C1052" s="3" t="n">
        <v>26033.75</v>
      </c>
      <c r="D1052" s="3" t="n">
        <v>1484.7</v>
      </c>
      <c r="E1052" s="3" t="n">
        <v>1474.09</v>
      </c>
      <c r="F1052" s="4">
        <f>C1052/C1051-1</f>
        <v/>
      </c>
      <c r="G1052" s="4">
        <f>E1052/E1051-1</f>
        <v/>
      </c>
    </row>
    <row r="1053">
      <c r="A1053" s="2" t="n">
        <v>45996</v>
      </c>
      <c r="B1053" s="3" t="n">
        <v>26186.45</v>
      </c>
      <c r="C1053" s="3" t="n">
        <v>26186.45</v>
      </c>
      <c r="D1053" s="3" t="n">
        <v>1475.1</v>
      </c>
      <c r="E1053" s="3" t="n">
        <v>1464.55</v>
      </c>
      <c r="F1053" s="4">
        <f>C1053/C1052-1</f>
        <v/>
      </c>
      <c r="G1053" s="4">
        <f>E1053/E1052-1</f>
        <v/>
      </c>
    </row>
    <row r="1054">
      <c r="A1054" s="2" t="n">
        <v>45999</v>
      </c>
      <c r="B1054" s="3" t="n">
        <v>25960.55</v>
      </c>
      <c r="C1054" s="3" t="n">
        <v>25960.55</v>
      </c>
      <c r="D1054" s="3" t="n">
        <v>1456.1</v>
      </c>
      <c r="E1054" s="3" t="n">
        <v>1445.69</v>
      </c>
      <c r="F1054" s="4">
        <f>C1054/C1053-1</f>
        <v/>
      </c>
      <c r="G1054" s="4">
        <f>E1054/E1053-1</f>
        <v/>
      </c>
    </row>
    <row r="1055">
      <c r="A1055" s="2" t="n">
        <v>46000</v>
      </c>
      <c r="B1055" s="3" t="n">
        <v>25839.65</v>
      </c>
      <c r="C1055" s="3" t="n">
        <v>25839.65</v>
      </c>
      <c r="D1055" s="3" t="n">
        <v>1459.8</v>
      </c>
      <c r="E1055" s="3" t="n">
        <v>1449.36</v>
      </c>
      <c r="F1055" s="4">
        <f>C1055/C1054-1</f>
        <v/>
      </c>
      <c r="G1055" s="4">
        <f>E1055/E1054-1</f>
        <v/>
      </c>
    </row>
    <row r="1056">
      <c r="A1056" s="2" t="n">
        <v>46001</v>
      </c>
      <c r="B1056" s="3" t="n">
        <v>25758</v>
      </c>
      <c r="C1056" s="3" t="n">
        <v>25758</v>
      </c>
      <c r="D1056" s="3" t="n">
        <v>1455.7</v>
      </c>
      <c r="E1056" s="3" t="n">
        <v>1445.29</v>
      </c>
      <c r="F1056" s="4">
        <f>C1056/C1055-1</f>
        <v/>
      </c>
      <c r="G1056" s="4">
        <f>E1056/E1055-1</f>
        <v/>
      </c>
    </row>
    <row r="1057">
      <c r="A1057" s="2" t="n">
        <v>46002</v>
      </c>
      <c r="B1057" s="3" t="n">
        <v>25898.55</v>
      </c>
      <c r="C1057" s="3" t="n">
        <v>25898.55</v>
      </c>
      <c r="D1057" s="3" t="n">
        <v>1467.4</v>
      </c>
      <c r="E1057" s="3" t="n">
        <v>1456.91</v>
      </c>
      <c r="F1057" s="4">
        <f>C1057/C1056-1</f>
        <v/>
      </c>
      <c r="G1057" s="4">
        <f>E1057/E1056-1</f>
        <v/>
      </c>
    </row>
    <row r="1058">
      <c r="A1058" s="2" t="n">
        <v>46003</v>
      </c>
      <c r="B1058" s="3" t="n">
        <v>26046.95</v>
      </c>
      <c r="C1058" s="3" t="n">
        <v>26046.95</v>
      </c>
      <c r="D1058" s="3" t="n">
        <v>1476.8</v>
      </c>
      <c r="E1058" s="3" t="n">
        <v>1466.24</v>
      </c>
      <c r="F1058" s="4">
        <f>C1058/C1057-1</f>
        <v/>
      </c>
      <c r="G1058" s="4">
        <f>E1058/E1057-1</f>
        <v/>
      </c>
    </row>
    <row r="1059">
      <c r="A1059" s="2" t="n">
        <v>46006</v>
      </c>
      <c r="B1059" s="3" t="n">
        <v>26027.3</v>
      </c>
      <c r="C1059" s="3" t="n">
        <v>26027.3</v>
      </c>
      <c r="D1059" s="3" t="n">
        <v>1479.4</v>
      </c>
      <c r="E1059" s="3" t="n">
        <v>1468.82</v>
      </c>
      <c r="F1059" s="4">
        <f>C1059/C1058-1</f>
        <v/>
      </c>
      <c r="G1059" s="4">
        <f>E1059/E1058-1</f>
        <v/>
      </c>
    </row>
    <row r="1060">
      <c r="A1060" s="2" t="n">
        <v>46007</v>
      </c>
      <c r="B1060" s="3" t="n">
        <v>25860.1</v>
      </c>
      <c r="C1060" s="3" t="n">
        <v>25860.1</v>
      </c>
      <c r="D1060" s="3" t="n">
        <v>1473.1</v>
      </c>
      <c r="E1060" s="3" t="n">
        <v>1462.57</v>
      </c>
      <c r="F1060" s="4">
        <f>C1060/C1059-1</f>
        <v/>
      </c>
      <c r="G1060" s="4">
        <f>E1060/E1059-1</f>
        <v/>
      </c>
    </row>
    <row r="1061">
      <c r="A1061" s="2" t="n">
        <v>46008</v>
      </c>
      <c r="B1061" s="3" t="n">
        <v>25818.55</v>
      </c>
      <c r="C1061" s="3" t="n">
        <v>25818.55</v>
      </c>
      <c r="D1061" s="3" t="n">
        <v>1450.7</v>
      </c>
      <c r="E1061" s="3" t="n">
        <v>1440.33</v>
      </c>
      <c r="F1061" s="4">
        <f>C1061/C1060-1</f>
        <v/>
      </c>
      <c r="G1061" s="4">
        <f>E1061/E1060-1</f>
        <v/>
      </c>
    </row>
    <row r="1062">
      <c r="A1062" s="2" t="n">
        <v>46009</v>
      </c>
      <c r="B1062" s="3" t="n">
        <v>25815.55</v>
      </c>
      <c r="C1062" s="3" t="n">
        <v>25815.55</v>
      </c>
      <c r="D1062" s="3" t="n">
        <v>1451.6</v>
      </c>
      <c r="E1062" s="3" t="n">
        <v>1441.22</v>
      </c>
      <c r="F1062" s="4">
        <f>C1062/C1061-1</f>
        <v/>
      </c>
      <c r="G1062" s="4">
        <f>E1062/E1061-1</f>
        <v/>
      </c>
    </row>
    <row r="1063">
      <c r="A1063" s="2" t="n">
        <v>46010</v>
      </c>
      <c r="B1063" s="3" t="n">
        <v>25966.4</v>
      </c>
      <c r="C1063" s="3" t="n">
        <v>25966.4</v>
      </c>
      <c r="D1063" s="3" t="n">
        <v>1458.3</v>
      </c>
      <c r="E1063" s="3" t="n">
        <v>1447.87</v>
      </c>
      <c r="F1063" s="4">
        <f>C1063/C1062-1</f>
        <v/>
      </c>
      <c r="G1063" s="4">
        <f>E1063/E1062-1</f>
        <v/>
      </c>
    </row>
    <row r="1064">
      <c r="A1064" s="2" t="n">
        <v>46013</v>
      </c>
      <c r="B1064" s="3" t="n">
        <v>26172.4</v>
      </c>
      <c r="C1064" s="3" t="n">
        <v>26172.4</v>
      </c>
      <c r="D1064" s="3" t="n">
        <v>1459.2</v>
      </c>
      <c r="E1064" s="3" t="n">
        <v>1448.77</v>
      </c>
      <c r="F1064" s="4">
        <f>C1064/C1063-1</f>
        <v/>
      </c>
      <c r="G1064" s="4">
        <f>E1064/E1063-1</f>
        <v/>
      </c>
    </row>
    <row r="1065">
      <c r="A1065" s="2" t="n">
        <v>46014</v>
      </c>
      <c r="B1065" s="3" t="n">
        <v>26177.15</v>
      </c>
      <c r="C1065" s="3" t="n">
        <v>26177.15</v>
      </c>
      <c r="D1065" s="3" t="n">
        <v>1462.1</v>
      </c>
      <c r="E1065" s="3" t="n">
        <v>1451.65</v>
      </c>
      <c r="F1065" s="4">
        <f>C1065/C1064-1</f>
        <v/>
      </c>
      <c r="G1065" s="4">
        <f>E1065/E1064-1</f>
        <v/>
      </c>
    </row>
    <row r="1066">
      <c r="A1066" s="2" t="n">
        <v>46015</v>
      </c>
      <c r="B1066" s="3" t="n">
        <v>26142.1</v>
      </c>
      <c r="C1066" s="3" t="n">
        <v>26142.1</v>
      </c>
      <c r="D1066" s="3" t="n">
        <v>1446.6</v>
      </c>
      <c r="E1066" s="3" t="n">
        <v>1436.26</v>
      </c>
      <c r="F1066" s="4">
        <f>C1066/C1065-1</f>
        <v/>
      </c>
      <c r="G1066" s="4">
        <f>E1066/E1065-1</f>
        <v/>
      </c>
    </row>
    <row r="1067">
      <c r="A1067" s="2" t="n">
        <v>46017</v>
      </c>
      <c r="B1067" s="3" t="n">
        <v>26042.3</v>
      </c>
      <c r="C1067" s="3" t="n">
        <v>26042.3</v>
      </c>
      <c r="D1067" s="3" t="n">
        <v>1458.6</v>
      </c>
      <c r="E1067" s="3" t="n">
        <v>1448.17</v>
      </c>
      <c r="F1067" s="4">
        <f>C1067/C1066-1</f>
        <v/>
      </c>
      <c r="G1067" s="4">
        <f>E1067/E1066-1</f>
        <v/>
      </c>
    </row>
    <row r="1068">
      <c r="A1068" s="2" t="n">
        <v>46020</v>
      </c>
      <c r="B1068" s="3" t="n">
        <v>25942.1</v>
      </c>
      <c r="C1068" s="3" t="n">
        <v>25942.1</v>
      </c>
      <c r="D1068" s="3" t="n">
        <v>1452.8</v>
      </c>
      <c r="E1068" s="3" t="n">
        <v>1442.41</v>
      </c>
      <c r="F1068" s="4">
        <f>C1068/C1067-1</f>
        <v/>
      </c>
      <c r="G1068" s="4">
        <f>E1068/E1067-1</f>
        <v/>
      </c>
    </row>
    <row r="1069">
      <c r="A1069" s="2" t="n">
        <v>46021</v>
      </c>
      <c r="B1069" s="3" t="n">
        <v>25938.85</v>
      </c>
      <c r="C1069" s="3" t="n">
        <v>25938.85</v>
      </c>
      <c r="D1069" s="3" t="n">
        <v>1450.9</v>
      </c>
      <c r="E1069" s="3" t="n">
        <v>1440.53</v>
      </c>
      <c r="F1069" s="4">
        <f>C1069/C1068-1</f>
        <v/>
      </c>
      <c r="G1069" s="4">
        <f>E1069/E1068-1</f>
        <v/>
      </c>
    </row>
    <row r="1070">
      <c r="A1070" s="2" t="n">
        <v>46022</v>
      </c>
      <c r="B1070" s="3" t="n">
        <v>26129.6</v>
      </c>
      <c r="C1070" s="3" t="n">
        <v>26129.6</v>
      </c>
      <c r="D1070" s="3" t="n">
        <v>1482.4</v>
      </c>
      <c r="E1070" s="3" t="n">
        <v>1471.8</v>
      </c>
      <c r="F1070" s="4">
        <f>C1070/C1069-1</f>
        <v/>
      </c>
      <c r="G1070" s="4">
        <f>E1070/E1069-1</f>
        <v/>
      </c>
    </row>
    <row r="1071">
      <c r="A1071" s="2" t="n">
        <v>46023</v>
      </c>
      <c r="B1071" s="3" t="n">
        <v>26146.55</v>
      </c>
      <c r="C1071" s="3" t="n">
        <v>26146.55</v>
      </c>
      <c r="D1071" s="3" t="n">
        <v>1469.3</v>
      </c>
      <c r="E1071" s="3" t="n">
        <v>1458.8</v>
      </c>
      <c r="F1071" s="4">
        <f>C1071/C1070-1</f>
        <v/>
      </c>
      <c r="G1071" s="4">
        <f>E1071/E1070-1</f>
        <v/>
      </c>
    </row>
    <row r="1072">
      <c r="A1072" s="2" t="n">
        <v>46024</v>
      </c>
      <c r="B1072" s="3" t="n">
        <v>26328.55</v>
      </c>
      <c r="C1072" s="3" t="n">
        <v>26328.55</v>
      </c>
      <c r="D1072" s="3" t="n">
        <v>1478.2</v>
      </c>
      <c r="E1072" s="3" t="n">
        <v>1467.63</v>
      </c>
      <c r="F1072" s="4">
        <f>C1072/C1071-1</f>
        <v/>
      </c>
      <c r="G1072" s="4">
        <f>E1072/E1071-1</f>
        <v/>
      </c>
    </row>
    <row r="1073">
      <c r="A1073" s="2" t="n">
        <v>46027</v>
      </c>
      <c r="B1073" s="3" t="n">
        <v>26250.3</v>
      </c>
      <c r="C1073" s="3" t="n">
        <v>26250.3</v>
      </c>
      <c r="D1073" s="3" t="n">
        <v>1505</v>
      </c>
      <c r="E1073" s="3" t="n">
        <v>1494.24</v>
      </c>
      <c r="F1073" s="4">
        <f>C1073/C1072-1</f>
        <v/>
      </c>
      <c r="G1073" s="4">
        <f>E1073/E1072-1</f>
        <v/>
      </c>
    </row>
    <row r="1074">
      <c r="A1074" s="2" t="n">
        <v>46028</v>
      </c>
      <c r="B1074" s="3" t="n">
        <v>26178.7</v>
      </c>
      <c r="C1074" s="3" t="n">
        <v>26178.7</v>
      </c>
      <c r="D1074" s="3" t="n">
        <v>1505</v>
      </c>
      <c r="E1074" s="3" t="n">
        <v>1494.24</v>
      </c>
      <c r="F1074" s="4">
        <f>C1074/C1073-1</f>
        <v/>
      </c>
      <c r="G1074" s="4">
        <f>E1074/E1073-1</f>
        <v/>
      </c>
    </row>
    <row r="1075">
      <c r="A1075" s="2" t="n">
        <v>46029</v>
      </c>
      <c r="B1075" s="3" t="n">
        <v>26140.75</v>
      </c>
      <c r="C1075" s="3" t="n">
        <v>26140.75</v>
      </c>
      <c r="D1075" s="3" t="n">
        <v>1514.8</v>
      </c>
      <c r="E1075" s="3" t="n">
        <v>1503.97</v>
      </c>
      <c r="F1075" s="4">
        <f>C1075/C1074-1</f>
        <v/>
      </c>
      <c r="G1075" s="4">
        <f>E1075/E1074-1</f>
        <v/>
      </c>
    </row>
    <row r="1076">
      <c r="A1076" s="2" t="n">
        <v>46030</v>
      </c>
      <c r="B1076" s="3" t="n">
        <v>25876.85</v>
      </c>
      <c r="C1076" s="3" t="n">
        <v>25876.85</v>
      </c>
      <c r="D1076" s="3" t="n">
        <v>1500.8</v>
      </c>
      <c r="E1076" s="3" t="n">
        <v>1490.07</v>
      </c>
      <c r="F1076" s="4">
        <f>C1076/C1075-1</f>
        <v/>
      </c>
      <c r="G1076" s="4">
        <f>E1076/E1075-1</f>
        <v/>
      </c>
    </row>
    <row r="1077">
      <c r="A1077" s="2" t="n">
        <v>46031</v>
      </c>
      <c r="B1077" s="3" t="n">
        <v>25683.3</v>
      </c>
      <c r="C1077" s="3" t="n">
        <v>25683.3</v>
      </c>
      <c r="D1077" s="3" t="n">
        <v>1484.3</v>
      </c>
      <c r="E1077" s="3" t="n">
        <v>1473.69</v>
      </c>
      <c r="F1077" s="4">
        <f>C1077/C1076-1</f>
        <v/>
      </c>
      <c r="G1077" s="4">
        <f>E1077/E1076-1</f>
        <v/>
      </c>
    </row>
    <row r="1078">
      <c r="A1078" s="2" t="n">
        <v>46034</v>
      </c>
      <c r="B1078" s="3" t="n">
        <v>25790.25</v>
      </c>
      <c r="C1078" s="3" t="n">
        <v>25790.25</v>
      </c>
      <c r="D1078" s="3" t="n">
        <v>1500.8</v>
      </c>
      <c r="E1078" s="3" t="n">
        <v>1490.07</v>
      </c>
      <c r="F1078" s="4">
        <f>C1078/C1077-1</f>
        <v/>
      </c>
      <c r="G1078" s="4">
        <f>E1078/E1077-1</f>
        <v/>
      </c>
    </row>
    <row r="1079">
      <c r="A1079" s="2" t="n">
        <v>46035</v>
      </c>
      <c r="B1079" s="3" t="n">
        <v>25732.3</v>
      </c>
      <c r="C1079" s="3" t="n">
        <v>25732.3</v>
      </c>
      <c r="D1079" s="3" t="n">
        <v>1498.9</v>
      </c>
      <c r="E1079" s="3" t="n">
        <v>1488.18</v>
      </c>
      <c r="F1079" s="4">
        <f>C1079/C1078-1</f>
        <v/>
      </c>
      <c r="G1079" s="4">
        <f>E1079/E1078-1</f>
        <v/>
      </c>
    </row>
    <row r="1080">
      <c r="A1080" s="2" t="n">
        <v>46036</v>
      </c>
      <c r="B1080" s="3" t="n">
        <v>25665.6</v>
      </c>
      <c r="C1080" s="3" t="n">
        <v>25665.6</v>
      </c>
      <c r="D1080" s="3" t="n">
        <v>1495.3</v>
      </c>
      <c r="E1080" s="3" t="n">
        <v>1484.61</v>
      </c>
      <c r="F1080" s="4">
        <f>C1080/C1079-1</f>
        <v/>
      </c>
      <c r="G1080" s="4">
        <f>E1080/E1079-1</f>
        <v/>
      </c>
    </row>
    <row r="1081">
      <c r="A1081" s="2" t="n">
        <v>46038</v>
      </c>
      <c r="B1081" s="3" t="n">
        <v>25694.35</v>
      </c>
      <c r="C1081" s="3" t="n">
        <v>25694.35</v>
      </c>
      <c r="D1081" s="3" t="n">
        <v>1476.6</v>
      </c>
      <c r="E1081" s="3" t="n">
        <v>1466.04</v>
      </c>
      <c r="F1081" s="4">
        <f>C1081/C1080-1</f>
        <v/>
      </c>
      <c r="G1081" s="4">
        <f>E1081/E1080-1</f>
        <v/>
      </c>
    </row>
    <row r="1082">
      <c r="A1082" s="2" t="n">
        <v>46041</v>
      </c>
      <c r="B1082" s="3" t="n">
        <v>25585.5</v>
      </c>
      <c r="C1082" s="3" t="n">
        <v>25585.5</v>
      </c>
      <c r="D1082" s="3" t="n">
        <v>1474.8</v>
      </c>
      <c r="E1082" s="3" t="n">
        <v>1464.26</v>
      </c>
      <c r="F1082" s="4">
        <f>C1082/C1081-1</f>
        <v/>
      </c>
      <c r="G1082" s="4">
        <f>E1082/E1081-1</f>
        <v/>
      </c>
    </row>
    <row r="1083">
      <c r="A1083" s="2" t="n">
        <v>46042</v>
      </c>
      <c r="B1083" s="3" t="n">
        <v>25232.5</v>
      </c>
      <c r="C1083" s="3" t="n">
        <v>25232.5</v>
      </c>
      <c r="D1083" s="3" t="n">
        <v>1435.2</v>
      </c>
      <c r="E1083" s="3" t="n">
        <v>1424.94</v>
      </c>
      <c r="F1083" s="4">
        <f>C1083/C1082-1</f>
        <v/>
      </c>
      <c r="G1083" s="4">
        <f>E1083/E1082-1</f>
        <v/>
      </c>
    </row>
    <row r="1084">
      <c r="A1084" s="2" t="n">
        <v>46043</v>
      </c>
      <c r="B1084" s="3" t="n">
        <v>25157.5</v>
      </c>
      <c r="C1084" s="3" t="n">
        <v>25157.5</v>
      </c>
      <c r="D1084" s="3" t="n">
        <v>1421.8</v>
      </c>
      <c r="E1084" s="3" t="n">
        <v>1411.64</v>
      </c>
      <c r="F1084" s="4">
        <f>C1084/C1083-1</f>
        <v/>
      </c>
      <c r="G1084" s="4">
        <f>E1084/E1083-1</f>
        <v/>
      </c>
    </row>
    <row r="1085">
      <c r="A1085" s="2" t="n">
        <v>46044</v>
      </c>
      <c r="B1085" s="3" t="n">
        <v>25289.9</v>
      </c>
      <c r="C1085" s="3" t="n">
        <v>25289.9</v>
      </c>
      <c r="D1085" s="3" t="n">
        <v>1452.8</v>
      </c>
      <c r="E1085" s="3" t="n">
        <v>1442.41</v>
      </c>
      <c r="F1085" s="4">
        <f>C1085/C1084-1</f>
        <v/>
      </c>
      <c r="G1085" s="4">
        <f>E1085/E1084-1</f>
        <v/>
      </c>
    </row>
    <row r="1086">
      <c r="A1086" s="2" t="n">
        <v>46045</v>
      </c>
      <c r="B1086" s="3" t="n">
        <v>25048.65</v>
      </c>
      <c r="C1086" s="3" t="n">
        <v>25048.65</v>
      </c>
      <c r="D1086" s="3" t="n">
        <v>1447.9</v>
      </c>
      <c r="E1086" s="3" t="n">
        <v>1437.55</v>
      </c>
      <c r="F1086" s="4">
        <f>C1086/C1085-1</f>
        <v/>
      </c>
      <c r="G1086" s="4">
        <f>E1086/E1085-1</f>
        <v/>
      </c>
    </row>
    <row r="1087">
      <c r="A1087" s="2" t="n">
        <v>46049</v>
      </c>
      <c r="B1087" s="3" t="n">
        <v>25175.4</v>
      </c>
      <c r="C1087" s="3" t="n">
        <v>25175.4</v>
      </c>
      <c r="D1087" s="3" t="n">
        <v>1447.2</v>
      </c>
      <c r="E1087" s="3" t="n">
        <v>1436.85</v>
      </c>
      <c r="F1087" s="4">
        <f>C1087/C1086-1</f>
        <v/>
      </c>
      <c r="G1087" s="4">
        <f>E1087/E1086-1</f>
        <v/>
      </c>
    </row>
    <row r="1088">
      <c r="A1088" s="2" t="n">
        <v>46050</v>
      </c>
      <c r="B1088" s="3" t="n">
        <v>25342.75</v>
      </c>
      <c r="C1088" s="3" t="n">
        <v>25342.75</v>
      </c>
      <c r="D1088" s="3" t="n">
        <v>1460.7</v>
      </c>
      <c r="E1088" s="3" t="n">
        <v>1450.26</v>
      </c>
      <c r="F1088" s="4">
        <f>C1088/C1087-1</f>
        <v/>
      </c>
      <c r="G1088" s="4">
        <f>E1088/E1087-1</f>
        <v/>
      </c>
    </row>
    <row r="1089">
      <c r="A1089" s="2" t="n">
        <v>46051</v>
      </c>
      <c r="B1089" s="3" t="n">
        <v>25418.9</v>
      </c>
      <c r="C1089" s="3" t="n">
        <v>25418.9</v>
      </c>
      <c r="D1089" s="3" t="n">
        <v>1429.6</v>
      </c>
      <c r="E1089" s="3" t="n">
        <v>1419.38</v>
      </c>
      <c r="F1089" s="4">
        <f>C1089/C1088-1</f>
        <v/>
      </c>
      <c r="G1089" s="4">
        <f>E1089/E1088-1</f>
        <v/>
      </c>
    </row>
    <row r="1090">
      <c r="A1090" s="2" t="n">
        <v>46052</v>
      </c>
      <c r="B1090" s="3" t="n">
        <v>25320.65</v>
      </c>
      <c r="C1090" s="3" t="n">
        <v>25320.65</v>
      </c>
      <c r="D1090" s="3" t="n">
        <v>1431.1</v>
      </c>
      <c r="E1090" s="3" t="n">
        <v>1420.87</v>
      </c>
      <c r="F1090" s="4">
        <f>C1090/C1089-1</f>
        <v/>
      </c>
      <c r="G1090" s="4">
        <f>E1090/E1089-1</f>
        <v/>
      </c>
    </row>
    <row r="1091">
      <c r="A1091" s="2" t="n">
        <v>46055</v>
      </c>
      <c r="B1091" s="3" t="n">
        <v>25088.4</v>
      </c>
      <c r="C1091" s="3" t="n">
        <v>25088.4</v>
      </c>
      <c r="D1091" s="3" t="n">
        <v>1412</v>
      </c>
      <c r="E1091" s="3" t="n">
        <v>1401.91</v>
      </c>
      <c r="F1091" s="4">
        <f>C1091/C1090-1</f>
        <v/>
      </c>
      <c r="G1091" s="4">
        <f>E1091/E1090-1</f>
        <v/>
      </c>
    </row>
    <row r="1092">
      <c r="A1092" s="2" t="n">
        <v>46056</v>
      </c>
      <c r="B1092" s="3" t="n">
        <v>25727.55</v>
      </c>
      <c r="C1092" s="3" t="n">
        <v>25727.55</v>
      </c>
      <c r="D1092" s="3" t="n">
        <v>1427.8</v>
      </c>
      <c r="E1092" s="3" t="n">
        <v>1417.59</v>
      </c>
      <c r="F1092" s="4">
        <f>C1092/C1091-1</f>
        <v/>
      </c>
      <c r="G1092" s="4">
        <f>E1092/E1091-1</f>
        <v/>
      </c>
    </row>
    <row r="1093">
      <c r="A1093" s="2" t="n">
        <v>46057</v>
      </c>
      <c r="B1093" s="3" t="n">
        <v>25776</v>
      </c>
      <c r="C1093" s="3" t="n">
        <v>25776</v>
      </c>
      <c r="D1093" s="3" t="n">
        <v>1460.3</v>
      </c>
      <c r="E1093" s="3" t="n">
        <v>1449.86</v>
      </c>
      <c r="F1093" s="4">
        <f>C1093/C1092-1</f>
        <v/>
      </c>
      <c r="G1093" s="4">
        <f>E1093/E1092-1</f>
        <v/>
      </c>
    </row>
    <row r="1094">
      <c r="A1094" s="2" t="n">
        <v>46058</v>
      </c>
      <c r="B1094" s="3" t="n">
        <v>25642.8</v>
      </c>
      <c r="C1094" s="3" t="n">
        <v>25642.8</v>
      </c>
      <c r="D1094" s="3" t="n">
        <v>1469.6</v>
      </c>
      <c r="E1094" s="3" t="n">
        <v>1459.09</v>
      </c>
      <c r="F1094" s="4">
        <f>C1094/C1093-1</f>
        <v/>
      </c>
      <c r="G1094" s="4">
        <f>E1094/E1093-1</f>
        <v/>
      </c>
    </row>
    <row r="1095">
      <c r="A1095" s="2" t="n">
        <v>46059</v>
      </c>
      <c r="B1095" s="3" t="n">
        <v>25693.7</v>
      </c>
      <c r="C1095" s="3" t="n">
        <v>25693.7</v>
      </c>
      <c r="D1095" s="3" t="n">
        <v>1489.1</v>
      </c>
      <c r="E1095" s="3" t="n">
        <v>1478.45</v>
      </c>
      <c r="F1095" s="4">
        <f>C1095/C1094-1</f>
        <v/>
      </c>
      <c r="G1095" s="4">
        <f>E1095/E1094-1</f>
        <v/>
      </c>
    </row>
    <row r="1096">
      <c r="A1096" s="2" t="n">
        <v>46062</v>
      </c>
      <c r="B1096" s="3" t="n">
        <v>25867.3</v>
      </c>
      <c r="C1096" s="3" t="n">
        <v>25867.3</v>
      </c>
      <c r="D1096" s="3" t="n">
        <v>1488.2</v>
      </c>
      <c r="E1096" s="3" t="n">
        <v>1477.56</v>
      </c>
      <c r="F1096" s="4">
        <f>C1096/C1095-1</f>
        <v/>
      </c>
      <c r="G1096" s="4">
        <f>E1096/E1095-1</f>
        <v/>
      </c>
    </row>
    <row r="1097">
      <c r="A1097" s="2" t="n">
        <v>46063</v>
      </c>
      <c r="B1097" s="3" t="n">
        <v>25935.15</v>
      </c>
      <c r="C1097" s="3" t="n">
        <v>25935.15</v>
      </c>
      <c r="D1097" s="3" t="n">
        <v>1478.9</v>
      </c>
      <c r="E1097" s="3" t="n">
        <v>1468.33</v>
      </c>
      <c r="F1097" s="4">
        <f>C1097/C1096-1</f>
        <v/>
      </c>
      <c r="G1097" s="4">
        <f>E1097/E1096-1</f>
        <v/>
      </c>
    </row>
    <row r="1098">
      <c r="A1098" s="2" t="n">
        <v>46064</v>
      </c>
      <c r="B1098" s="3" t="n">
        <v>25953.85</v>
      </c>
      <c r="C1098" s="3" t="n">
        <v>25953.85</v>
      </c>
      <c r="D1098" s="3" t="n">
        <v>1480.1</v>
      </c>
      <c r="E1098" s="3" t="n">
        <v>1469.52</v>
      </c>
      <c r="F1098" s="4">
        <f>C1098/C1097-1</f>
        <v/>
      </c>
      <c r="G1098" s="4">
        <f>E1098/E1097-1</f>
        <v/>
      </c>
    </row>
    <row r="1099">
      <c r="A1099" s="2" t="n">
        <v>46065</v>
      </c>
      <c r="B1099" s="3" t="n">
        <v>25807.2</v>
      </c>
      <c r="C1099" s="3" t="n">
        <v>25807.2</v>
      </c>
      <c r="D1099" s="3" t="n">
        <v>1497.4</v>
      </c>
      <c r="E1099" s="3" t="n">
        <v>1486.69</v>
      </c>
      <c r="F1099" s="4">
        <f>C1099/C1098-1</f>
        <v/>
      </c>
      <c r="G1099" s="4">
        <f>E1099/E1098-1</f>
        <v/>
      </c>
    </row>
    <row r="1100">
      <c r="A1100" s="2" t="n">
        <v>46066</v>
      </c>
      <c r="B1100" s="3" t="n">
        <v>25471.1</v>
      </c>
      <c r="C1100" s="3" t="n">
        <v>25471.1</v>
      </c>
      <c r="D1100" s="3" t="n">
        <v>1479.3</v>
      </c>
      <c r="E1100" s="3" t="n">
        <v>1468.72</v>
      </c>
      <c r="F1100" s="4">
        <f>C1100/C1099-1</f>
        <v/>
      </c>
      <c r="G1100" s="4">
        <f>E1100/E1099-1</f>
        <v/>
      </c>
    </row>
    <row r="1101">
      <c r="A1101" s="2" t="n">
        <v>46069</v>
      </c>
      <c r="B1101" s="3" t="n">
        <v>25682.75</v>
      </c>
      <c r="C1101" s="3" t="n">
        <v>25682.75</v>
      </c>
      <c r="D1101" s="3" t="n">
        <v>1487.3</v>
      </c>
      <c r="E1101" s="3" t="n">
        <v>1476.67</v>
      </c>
      <c r="F1101" s="4">
        <f>C1101/C1100-1</f>
        <v/>
      </c>
      <c r="G1101" s="4">
        <f>E1101/E1100-1</f>
        <v/>
      </c>
    </row>
    <row r="1102">
      <c r="A1102" s="2" t="n">
        <v>46070</v>
      </c>
      <c r="B1102" s="3" t="n">
        <v>25725.4</v>
      </c>
      <c r="C1102" s="3" t="n">
        <v>25725.4</v>
      </c>
      <c r="D1102" s="3" t="n">
        <v>1495.5</v>
      </c>
      <c r="E1102" s="3" t="n">
        <v>1484.81</v>
      </c>
      <c r="F1102" s="4">
        <f>C1102/C1101-1</f>
        <v/>
      </c>
      <c r="G1102" s="4">
        <f>E1102/E1101-1</f>
        <v/>
      </c>
    </row>
    <row r="1103">
      <c r="A1103" s="2" t="n">
        <v>46071</v>
      </c>
      <c r="B1103" s="3" t="n">
        <v>25819.35</v>
      </c>
      <c r="C1103" s="3" t="n">
        <v>25819.35</v>
      </c>
      <c r="D1103" s="3" t="n">
        <v>1489.5</v>
      </c>
      <c r="E1103" s="3" t="n">
        <v>1478.85</v>
      </c>
      <c r="F1103" s="4">
        <f>C1103/C1102-1</f>
        <v/>
      </c>
      <c r="G1103" s="4">
        <f>E1103/E1102-1</f>
        <v/>
      </c>
    </row>
    <row r="1104">
      <c r="A1104" s="2" t="n">
        <v>46072</v>
      </c>
      <c r="B1104" s="3" t="n">
        <v>25454.35</v>
      </c>
      <c r="C1104" s="3" t="n">
        <v>25454.35</v>
      </c>
      <c r="D1104" s="3" t="n">
        <v>1464.9</v>
      </c>
      <c r="E1104" s="3" t="n">
        <v>1454.43</v>
      </c>
      <c r="F1104" s="4">
        <f>C1104/C1103-1</f>
        <v/>
      </c>
      <c r="G1104" s="4">
        <f>E1104/E1103-1</f>
        <v/>
      </c>
    </row>
    <row r="1105">
      <c r="A1105" s="2" t="n">
        <v>46073</v>
      </c>
      <c r="B1105" s="3" t="n">
        <v>25571.25</v>
      </c>
      <c r="C1105" s="3" t="n">
        <v>25571.25</v>
      </c>
      <c r="D1105" s="3" t="n">
        <v>1464.9</v>
      </c>
      <c r="E1105" s="3" t="n">
        <v>1454.43</v>
      </c>
      <c r="F1105" s="4">
        <f>C1105/C1104-1</f>
        <v/>
      </c>
      <c r="G1105" s="4">
        <f>E1105/E1104-1</f>
        <v/>
      </c>
    </row>
    <row r="1106">
      <c r="A1106" s="2" t="n">
        <v>46076</v>
      </c>
      <c r="B1106" s="3" t="n">
        <v>25713</v>
      </c>
      <c r="C1106" s="3" t="n">
        <v>25713</v>
      </c>
      <c r="D1106" s="3" t="n">
        <v>1481</v>
      </c>
      <c r="E1106" s="3" t="n">
        <v>1470.41</v>
      </c>
      <c r="F1106" s="4">
        <f>C1106/C1105-1</f>
        <v/>
      </c>
      <c r="G1106" s="4">
        <f>E1106/E1105-1</f>
        <v/>
      </c>
    </row>
    <row r="1107">
      <c r="A1107" s="2" t="n">
        <v>46077</v>
      </c>
      <c r="B1107" s="3" t="n">
        <v>25424.65</v>
      </c>
      <c r="C1107" s="3" t="n">
        <v>25424.65</v>
      </c>
      <c r="D1107" s="3" t="n">
        <v>1480.5</v>
      </c>
      <c r="E1107" s="3" t="n">
        <v>1469.92</v>
      </c>
      <c r="F1107" s="4">
        <f>C1107/C1106-1</f>
        <v/>
      </c>
      <c r="G1107" s="4">
        <f>E1107/E1106-1</f>
        <v/>
      </c>
    </row>
    <row r="1108">
      <c r="A1108" s="2" t="n">
        <v>46078</v>
      </c>
      <c r="B1108" s="3" t="n">
        <v>25482.5</v>
      </c>
      <c r="C1108" s="3" t="n">
        <v>25482.5</v>
      </c>
      <c r="D1108" s="3" t="n">
        <v>1497.6</v>
      </c>
      <c r="E1108" s="3" t="n">
        <v>1486.89</v>
      </c>
      <c r="F1108" s="4">
        <f>C1108/C1107-1</f>
        <v/>
      </c>
      <c r="G1108" s="4">
        <f>E1108/E1107-1</f>
        <v/>
      </c>
    </row>
    <row r="1109">
      <c r="A1109" s="2" t="n">
        <v>46079</v>
      </c>
      <c r="B1109" s="3" t="n">
        <v>25496.55</v>
      </c>
      <c r="C1109" s="3" t="n">
        <v>25496.55</v>
      </c>
      <c r="D1109" s="3" t="n">
        <v>1516.9</v>
      </c>
      <c r="E1109" s="3" t="n">
        <v>1506.06</v>
      </c>
      <c r="F1109" s="4">
        <f>C1109/C1108-1</f>
        <v/>
      </c>
      <c r="G1109" s="4">
        <f>E1109/E1108-1</f>
        <v/>
      </c>
    </row>
    <row r="1110">
      <c r="A1110" s="2" t="n">
        <v>46080</v>
      </c>
      <c r="B1110" s="3" t="n">
        <v>25178.65</v>
      </c>
      <c r="C1110" s="3" t="n">
        <v>25178.65</v>
      </c>
      <c r="D1110" s="3" t="n">
        <v>1492</v>
      </c>
      <c r="E1110" s="3" t="n">
        <v>1481.33</v>
      </c>
      <c r="F1110" s="4">
        <f>C1110/C1109-1</f>
        <v/>
      </c>
      <c r="G1110" s="4">
        <f>E1110/E1109-1</f>
        <v/>
      </c>
    </row>
    <row r="1111">
      <c r="A1111" s="2" t="n">
        <v>46083</v>
      </c>
      <c r="B1111" s="3" t="n">
        <v>24865.7</v>
      </c>
      <c r="C1111" s="3" t="n">
        <v>24865.7</v>
      </c>
      <c r="D1111" s="3" t="n">
        <v>1465.5</v>
      </c>
      <c r="E1111" s="3" t="n">
        <v>1455.02</v>
      </c>
      <c r="F1111" s="4">
        <f>C1111/C1110-1</f>
        <v/>
      </c>
      <c r="G1111" s="4">
        <f>E1111/E1110-1</f>
        <v/>
      </c>
    </row>
    <row r="1112">
      <c r="A1112" s="2" t="n">
        <v>46085</v>
      </c>
      <c r="B1112" s="3" t="n">
        <v>24480.5</v>
      </c>
      <c r="C1112" s="3" t="n">
        <v>24480.5</v>
      </c>
      <c r="D1112" s="3" t="n">
        <v>1439.1</v>
      </c>
      <c r="E1112" s="3" t="n">
        <v>1428.81</v>
      </c>
      <c r="F1112" s="4">
        <f>C1112/C1111-1</f>
        <v/>
      </c>
      <c r="G1112" s="4">
        <f>E1112/E1111-1</f>
        <v/>
      </c>
    </row>
    <row r="1113">
      <c r="A1113" s="2" t="n">
        <v>46086</v>
      </c>
      <c r="B1113" s="3" t="n">
        <v>24765.9</v>
      </c>
      <c r="C1113" s="3" t="n">
        <v>24765.9</v>
      </c>
      <c r="D1113" s="3" t="n">
        <v>1445.9</v>
      </c>
      <c r="E1113" s="3" t="n">
        <v>1435.56</v>
      </c>
      <c r="F1113" s="4">
        <f>C1113/C1112-1</f>
        <v/>
      </c>
      <c r="G1113" s="4">
        <f>E1113/E1112-1</f>
        <v/>
      </c>
    </row>
    <row r="1114">
      <c r="A1114" s="2" t="n">
        <v>46087</v>
      </c>
      <c r="B1114" s="3" t="n">
        <v>24450.45</v>
      </c>
      <c r="C1114" s="3" t="n">
        <v>24450.45</v>
      </c>
      <c r="D1114" s="3" t="n">
        <v>1433.8</v>
      </c>
      <c r="E1114" s="3" t="n">
        <v>1423.55</v>
      </c>
      <c r="F1114" s="4">
        <f>C1114/C1113-1</f>
        <v/>
      </c>
      <c r="G1114" s="4">
        <f>E1114/E1113-1</f>
        <v/>
      </c>
    </row>
    <row r="1115">
      <c r="A1115" s="2" t="n">
        <v>46090</v>
      </c>
      <c r="B1115" s="3" t="n">
        <v>24028.05</v>
      </c>
      <c r="C1115" s="3" t="n">
        <v>24028.05</v>
      </c>
      <c r="D1115" s="3" t="n">
        <v>1386.4</v>
      </c>
      <c r="E1115" s="3" t="n">
        <v>1376.49</v>
      </c>
      <c r="F1115" s="4">
        <f>C1115/C1114-1</f>
        <v/>
      </c>
      <c r="G1115" s="4">
        <f>E1115/E1114-1</f>
        <v/>
      </c>
    </row>
    <row r="1116">
      <c r="A1116" s="2" t="n">
        <v>46091</v>
      </c>
      <c r="B1116" s="3" t="n">
        <v>24261.6</v>
      </c>
      <c r="C1116" s="3" t="n">
        <v>24261.6</v>
      </c>
      <c r="D1116" s="3" t="n">
        <v>1427.7</v>
      </c>
      <c r="E1116" s="3" t="n">
        <v>1417.49</v>
      </c>
      <c r="F1116" s="4">
        <f>C1116/C1115-1</f>
        <v/>
      </c>
      <c r="G1116" s="4">
        <f>E1116/E1115-1</f>
        <v/>
      </c>
    </row>
    <row r="1117">
      <c r="A1117" s="2" t="n">
        <v>46092</v>
      </c>
      <c r="B1117" s="3" t="n">
        <v>23866.85</v>
      </c>
      <c r="C1117" s="3" t="n">
        <v>23866.85</v>
      </c>
      <c r="D1117" s="3" t="n">
        <v>1403.4</v>
      </c>
      <c r="E1117" s="3" t="n">
        <v>1393.37</v>
      </c>
      <c r="F1117" s="4">
        <f>C1117/C1116-1</f>
        <v/>
      </c>
      <c r="G1117" s="4">
        <f>E1117/E1116-1</f>
        <v/>
      </c>
    </row>
    <row r="1118">
      <c r="A1118" s="2" t="n">
        <v>46093</v>
      </c>
      <c r="B1118" s="3" t="n">
        <v>23639.15</v>
      </c>
      <c r="C1118" s="3" t="n">
        <v>23639.15</v>
      </c>
      <c r="D1118" s="3" t="n">
        <v>1387.4</v>
      </c>
      <c r="E1118" s="3" t="n">
        <v>1377.48</v>
      </c>
      <c r="F1118" s="4">
        <f>C1118/C1117-1</f>
        <v/>
      </c>
      <c r="G1118" s="4">
        <f>E1118/E1117-1</f>
        <v/>
      </c>
    </row>
    <row r="1119">
      <c r="A1119" s="2" t="n">
        <v>46094</v>
      </c>
      <c r="B1119" s="3" t="n">
        <v>23151.1</v>
      </c>
      <c r="C1119" s="3" t="n">
        <v>23151.1</v>
      </c>
      <c r="D1119" s="3" t="n">
        <v>1340</v>
      </c>
      <c r="E1119" s="3" t="n">
        <v>1330.42</v>
      </c>
      <c r="F1119" s="4">
        <f>C1119/C1118-1</f>
        <v/>
      </c>
      <c r="G1119" s="4">
        <f>E1119/E1118-1</f>
        <v/>
      </c>
    </row>
    <row r="1120">
      <c r="A1120" s="2" t="n">
        <v>46097</v>
      </c>
      <c r="B1120" s="3" t="n">
        <v>23408.8</v>
      </c>
      <c r="C1120" s="3" t="n">
        <v>23408.8</v>
      </c>
      <c r="D1120" s="3" t="n">
        <v>1353.6</v>
      </c>
      <c r="E1120" s="3" t="n">
        <v>1343.92</v>
      </c>
      <c r="F1120" s="4">
        <f>C1120/C1119-1</f>
        <v/>
      </c>
      <c r="G1120" s="4">
        <f>E1120/E1119-1</f>
        <v/>
      </c>
    </row>
    <row r="1121">
      <c r="A1121" s="2" t="n">
        <v>46098</v>
      </c>
      <c r="B1121" s="3" t="n">
        <v>23581.15</v>
      </c>
      <c r="C1121" s="3" t="n">
        <v>23581.15</v>
      </c>
      <c r="D1121" s="3" t="n">
        <v>1357</v>
      </c>
      <c r="E1121" s="3" t="n">
        <v>1347.3</v>
      </c>
      <c r="F1121" s="4">
        <f>C1121/C1120-1</f>
        <v/>
      </c>
      <c r="G1121" s="4">
        <f>E1121/E1120-1</f>
        <v/>
      </c>
    </row>
    <row r="1122">
      <c r="A1122" s="2" t="n">
        <v>46099</v>
      </c>
      <c r="B1122" s="3" t="n">
        <v>23777.8</v>
      </c>
      <c r="C1122" s="3" t="n">
        <v>23777.8</v>
      </c>
      <c r="D1122" s="3" t="n">
        <v>1384.4</v>
      </c>
      <c r="E1122" s="3" t="n">
        <v>1374.5</v>
      </c>
      <c r="F1122" s="4">
        <f>C1122/C1121-1</f>
        <v/>
      </c>
      <c r="G1122" s="4">
        <f>E1122/E1121-1</f>
        <v/>
      </c>
    </row>
    <row r="1123">
      <c r="A1123" s="2" t="n">
        <v>46100</v>
      </c>
      <c r="B1123" s="3" t="n">
        <v>23002.15</v>
      </c>
      <c r="C1123" s="3" t="n">
        <v>23002.15</v>
      </c>
      <c r="D1123" s="3" t="n">
        <v>1308.9</v>
      </c>
      <c r="E1123" s="3" t="n">
        <v>1299.54</v>
      </c>
      <c r="F1123" s="4">
        <f>C1123/C1122-1</f>
        <v/>
      </c>
      <c r="G1123" s="4">
        <f>E1123/E1122-1</f>
        <v/>
      </c>
    </row>
    <row r="1124">
      <c r="A1124" s="2" t="n">
        <v>46101</v>
      </c>
      <c r="B1124" s="3" t="n">
        <v>23114.5</v>
      </c>
      <c r="C1124" s="3" t="n">
        <v>23114.5</v>
      </c>
      <c r="D1124" s="3" t="n">
        <v>1341.3</v>
      </c>
      <c r="E1124" s="3" t="n">
        <v>1331.71</v>
      </c>
      <c r="F1124" s="4">
        <f>C1124/C1123-1</f>
        <v/>
      </c>
      <c r="G1124" s="4">
        <f>E1124/E1123-1</f>
        <v/>
      </c>
    </row>
    <row r="1125">
      <c r="A1125" s="2" t="n">
        <v>46104</v>
      </c>
      <c r="B1125" s="3" t="n">
        <v>22512.65</v>
      </c>
      <c r="C1125" s="3" t="n">
        <v>22512.65</v>
      </c>
      <c r="D1125" s="3" t="n">
        <v>1314.9</v>
      </c>
      <c r="E1125" s="3" t="n">
        <v>1305.5</v>
      </c>
      <c r="F1125" s="4">
        <f>C1125/C1124-1</f>
        <v/>
      </c>
      <c r="G1125" s="4">
        <f>E1125/E1124-1</f>
        <v/>
      </c>
    </row>
    <row r="1126">
      <c r="A1126" s="2" t="n">
        <v>46105</v>
      </c>
      <c r="B1126" s="3" t="n">
        <v>22912.4</v>
      </c>
      <c r="C1126" s="3" t="n">
        <v>22912.4</v>
      </c>
      <c r="D1126" s="3" t="n">
        <v>1332.2</v>
      </c>
      <c r="E1126" s="3" t="n">
        <v>1322.68</v>
      </c>
      <c r="F1126" s="4">
        <f>C1126/C1125-1</f>
        <v/>
      </c>
      <c r="G1126" s="4">
        <f>E1126/E1125-1</f>
        <v/>
      </c>
    </row>
    <row r="1127">
      <c r="A1127" s="2" t="n">
        <v>46106</v>
      </c>
      <c r="B1127" s="3" t="n">
        <v>23306.45</v>
      </c>
      <c r="C1127" s="3" t="n">
        <v>23306.45</v>
      </c>
      <c r="D1127" s="3" t="n">
        <v>1362.8</v>
      </c>
      <c r="E1127" s="3" t="n">
        <v>1353.06</v>
      </c>
      <c r="F1127" s="4">
        <f>C1127/C1126-1</f>
        <v/>
      </c>
      <c r="G1127" s="4">
        <f>E1127/E1126-1</f>
        <v/>
      </c>
    </row>
    <row r="1128">
      <c r="A1128" s="2" t="n">
        <v>46108</v>
      </c>
      <c r="B1128" s="3" t="n">
        <v>22819.6</v>
      </c>
      <c r="C1128" s="3" t="n">
        <v>22819.6</v>
      </c>
      <c r="D1128" s="3" t="n">
        <v>1314.9</v>
      </c>
      <c r="E1128" s="3" t="n">
        <v>1305.5</v>
      </c>
      <c r="F1128" s="4">
        <f>C1128/C1127-1</f>
        <v/>
      </c>
      <c r="G1128" s="4">
        <f>E1128/E1127-1</f>
        <v/>
      </c>
    </row>
    <row r="1129">
      <c r="A1129" s="2" t="n">
        <v>46111</v>
      </c>
      <c r="B1129" s="3" t="n">
        <v>22331.4</v>
      </c>
      <c r="C1129" s="3" t="n">
        <v>22331.4</v>
      </c>
      <c r="D1129" s="3" t="n">
        <v>1285</v>
      </c>
      <c r="E1129" s="3" t="n">
        <v>1275.81</v>
      </c>
      <c r="F1129" s="4">
        <f>C1129/C1128-1</f>
        <v/>
      </c>
      <c r="G1129" s="4">
        <f>E1129/E1128-1</f>
        <v/>
      </c>
    </row>
    <row r="1130">
      <c r="A1130" s="2" t="n">
        <v>46113</v>
      </c>
      <c r="B1130" s="3" t="n">
        <v>22679.4</v>
      </c>
      <c r="C1130" s="3" t="n">
        <v>22679.4</v>
      </c>
      <c r="D1130" s="3" t="n">
        <v>1307</v>
      </c>
      <c r="E1130" s="3" t="n">
        <v>1297.66</v>
      </c>
      <c r="F1130" s="4">
        <f>C1130/C1129-1</f>
        <v/>
      </c>
      <c r="G1130" s="4">
        <f>E1130/E1129-1</f>
        <v/>
      </c>
    </row>
    <row r="1131">
      <c r="A1131" s="2" t="n">
        <v>46114</v>
      </c>
      <c r="B1131" s="3" t="n">
        <v>22713.1</v>
      </c>
      <c r="C1131" s="3" t="n">
        <v>22713.1</v>
      </c>
      <c r="D1131" s="3" t="n">
        <v>1273.6</v>
      </c>
      <c r="E1131" s="3" t="n">
        <v>1264.49</v>
      </c>
      <c r="F1131" s="4">
        <f>C1131/C1130-1</f>
        <v/>
      </c>
      <c r="G1131" s="4">
        <f>E1131/E1130-1</f>
        <v/>
      </c>
    </row>
    <row r="1132">
      <c r="A1132" s="2" t="n">
        <v>46118</v>
      </c>
      <c r="B1132" s="3" t="n">
        <v>22968.25</v>
      </c>
      <c r="C1132" s="3" t="n">
        <v>22968.25</v>
      </c>
      <c r="D1132" s="3" t="n">
        <v>1291.2</v>
      </c>
      <c r="E1132" s="3" t="n">
        <v>1281.97</v>
      </c>
      <c r="F1132" s="4">
        <f>C1132/C1131-1</f>
        <v/>
      </c>
      <c r="G1132" s="4">
        <f>E1132/E1131-1</f>
        <v/>
      </c>
    </row>
    <row r="1133">
      <c r="A1133" s="2" t="n">
        <v>46119</v>
      </c>
      <c r="B1133" s="3" t="n">
        <v>23123.65</v>
      </c>
      <c r="C1133" s="3" t="n">
        <v>23123.65</v>
      </c>
      <c r="D1133" s="3" t="n">
        <v>1295.1</v>
      </c>
      <c r="E1133" s="3" t="n">
        <v>1285.84</v>
      </c>
      <c r="F1133" s="4">
        <f>C1133/C1132-1</f>
        <v/>
      </c>
      <c r="G1133" s="4">
        <f>E1133/E1132-1</f>
        <v/>
      </c>
    </row>
    <row r="1134">
      <c r="A1134" s="2" t="n">
        <v>46120</v>
      </c>
      <c r="B1134" s="3" t="n">
        <v>23997.35</v>
      </c>
      <c r="C1134" s="3" t="n">
        <v>23997.35</v>
      </c>
      <c r="D1134" s="3" t="n">
        <v>1355</v>
      </c>
      <c r="E1134" s="3" t="n">
        <v>1345.31</v>
      </c>
      <c r="F1134" s="4">
        <f>C1134/C1133-1</f>
        <v/>
      </c>
      <c r="G1134" s="4">
        <f>E1134/E1133-1</f>
        <v/>
      </c>
    </row>
    <row r="1135">
      <c r="A1135" s="2" t="n">
        <v>46121</v>
      </c>
      <c r="B1135" s="3" t="n">
        <v>23775.1</v>
      </c>
      <c r="C1135" s="3" t="n">
        <v>23775.1</v>
      </c>
      <c r="D1135" s="3" t="n">
        <v>1347.4</v>
      </c>
      <c r="E1135" s="3" t="n">
        <v>1337.77</v>
      </c>
      <c r="F1135" s="4">
        <f>C1135/C1134-1</f>
        <v/>
      </c>
      <c r="G1135" s="4">
        <f>E1135/E1134-1</f>
        <v/>
      </c>
    </row>
    <row r="1136">
      <c r="A1136" s="2" t="n">
        <v>46122</v>
      </c>
      <c r="B1136" s="3" t="n">
        <v>24050.6</v>
      </c>
      <c r="C1136" s="3" t="n">
        <v>24050.6</v>
      </c>
      <c r="D1136" s="3" t="n">
        <v>1357.1</v>
      </c>
      <c r="E1136" s="3" t="n">
        <v>1347.4</v>
      </c>
      <c r="F1136" s="4">
        <f>C1136/C1135-1</f>
        <v/>
      </c>
      <c r="G1136" s="4">
        <f>E1136/E1135-1</f>
        <v/>
      </c>
    </row>
    <row r="1137">
      <c r="A1137" s="2" t="n">
        <v>46125</v>
      </c>
      <c r="B1137" s="3" t="n">
        <v>23842.65</v>
      </c>
      <c r="C1137" s="3" t="n">
        <v>23842.65</v>
      </c>
      <c r="D1137" s="3" t="n">
        <v>1326.5</v>
      </c>
      <c r="E1137" s="3" t="n">
        <v>1317.02</v>
      </c>
      <c r="F1137" s="4">
        <f>C1137/C1136-1</f>
        <v/>
      </c>
      <c r="G1137" s="4">
        <f>E1137/E1136-1</f>
        <v/>
      </c>
    </row>
    <row r="1138">
      <c r="A1138" s="2" t="n">
        <v>46127</v>
      </c>
      <c r="B1138" s="3" t="n">
        <v>24231.3</v>
      </c>
      <c r="C1138" s="3" t="n">
        <v>24231.3</v>
      </c>
      <c r="D1138" s="3" t="n">
        <v>1329.5</v>
      </c>
      <c r="E1138" s="3" t="n">
        <v>1320</v>
      </c>
      <c r="F1138" s="4">
        <f>C1138/C1137-1</f>
        <v/>
      </c>
      <c r="G1138" s="4">
        <f>E1138/E1137-1</f>
        <v/>
      </c>
    </row>
    <row r="1139">
      <c r="A1139" s="2" t="n">
        <v>46128</v>
      </c>
      <c r="B1139" s="3" t="n">
        <v>24196.75</v>
      </c>
      <c r="C1139" s="3" t="n">
        <v>24196.75</v>
      </c>
      <c r="D1139" s="3" t="n">
        <v>1331</v>
      </c>
      <c r="E1139" s="3" t="n">
        <v>1321.48</v>
      </c>
      <c r="F1139" s="4">
        <f>C1139/C1138-1</f>
        <v/>
      </c>
      <c r="G1139" s="4">
        <f>E1139/E1138-1</f>
        <v/>
      </c>
    </row>
    <row r="1140">
      <c r="A1140" s="2" t="n">
        <v>46129</v>
      </c>
      <c r="B1140" s="3" t="n">
        <v>24353.55</v>
      </c>
      <c r="C1140" s="3" t="n">
        <v>24353.55</v>
      </c>
      <c r="D1140" s="3" t="n">
        <v>1393.4</v>
      </c>
      <c r="E1140" s="3" t="n">
        <v>1383.44</v>
      </c>
      <c r="F1140" s="4">
        <f>C1140/C1139-1</f>
        <v/>
      </c>
      <c r="G1140" s="4">
        <f>E1140/E1139-1</f>
        <v/>
      </c>
    </row>
    <row r="1141">
      <c r="A1141" s="2" t="n">
        <v>46132</v>
      </c>
      <c r="B1141" s="3" t="n">
        <v>24364.85</v>
      </c>
      <c r="C1141" s="3" t="n">
        <v>24364.85</v>
      </c>
      <c r="D1141" s="3" t="n">
        <v>1390.5</v>
      </c>
      <c r="E1141" s="3" t="n">
        <v>1380.56</v>
      </c>
      <c r="F1141" s="4">
        <f>C1141/C1140-1</f>
        <v/>
      </c>
      <c r="G1141" s="4">
        <f>E1141/E1140-1</f>
        <v/>
      </c>
    </row>
    <row r="1142">
      <c r="A1142" s="2" t="n">
        <v>46133</v>
      </c>
      <c r="B1142" s="3" t="n">
        <v>24576.6</v>
      </c>
      <c r="C1142" s="3" t="n">
        <v>24576.6</v>
      </c>
      <c r="D1142" s="3" t="n">
        <v>1407.8</v>
      </c>
      <c r="E1142" s="3" t="n">
        <v>1397.74</v>
      </c>
      <c r="F1142" s="4">
        <f>C1142/C1141-1</f>
        <v/>
      </c>
      <c r="G1142" s="4">
        <f>E1142/E1141-1</f>
        <v/>
      </c>
    </row>
    <row r="1143">
      <c r="A1143" s="2" t="n">
        <v>46134</v>
      </c>
      <c r="B1143" s="3" t="n">
        <v>24378.1</v>
      </c>
      <c r="C1143" s="3" t="n">
        <v>24378.1</v>
      </c>
      <c r="D1143" s="3" t="n">
        <v>1419</v>
      </c>
      <c r="E1143" s="3" t="n">
        <v>1408.86</v>
      </c>
      <c r="F1143" s="4">
        <f>C1143/C1142-1</f>
        <v/>
      </c>
      <c r="G1143" s="4">
        <f>E1143/E1142-1</f>
        <v/>
      </c>
    </row>
    <row r="1144">
      <c r="A1144" s="2" t="n">
        <v>46135</v>
      </c>
      <c r="B1144" s="3" t="n">
        <v>24173.05</v>
      </c>
      <c r="C1144" s="3" t="n">
        <v>24173.05</v>
      </c>
      <c r="D1144" s="3" t="n">
        <v>1402.1</v>
      </c>
      <c r="E1144" s="3" t="n">
        <v>1392.08</v>
      </c>
      <c r="F1144" s="4">
        <f>C1144/C1143-1</f>
        <v/>
      </c>
      <c r="G1144" s="4">
        <f>E1144/E1143-1</f>
        <v/>
      </c>
    </row>
    <row r="1145">
      <c r="A1145" s="2" t="n">
        <v>46136</v>
      </c>
      <c r="B1145" s="3" t="n">
        <v>23897.95</v>
      </c>
      <c r="C1145" s="3" t="n">
        <v>23897.95</v>
      </c>
      <c r="D1145" s="3" t="n">
        <v>1394.3</v>
      </c>
      <c r="E1145" s="3" t="n">
        <v>1384.33</v>
      </c>
      <c r="F1145" s="4">
        <f>C1145/C1144-1</f>
        <v/>
      </c>
      <c r="G1145" s="4">
        <f>E1145/E1144-1</f>
        <v/>
      </c>
    </row>
    <row r="1146">
      <c r="A1146" s="2" t="n">
        <v>46139</v>
      </c>
      <c r="B1146" s="3" t="n">
        <v>24092.7</v>
      </c>
      <c r="C1146" s="3" t="n">
        <v>24092.7</v>
      </c>
      <c r="D1146" s="3" t="n">
        <v>1399.3</v>
      </c>
      <c r="E1146" s="3" t="n">
        <v>1389.3</v>
      </c>
      <c r="F1146" s="4">
        <f>C1146/C1145-1</f>
        <v/>
      </c>
      <c r="G1146" s="4">
        <f>E1146/E1145-1</f>
        <v/>
      </c>
    </row>
    <row r="1147">
      <c r="A1147" s="2" t="n">
        <v>46140</v>
      </c>
      <c r="B1147" s="3" t="n">
        <v>23995.7</v>
      </c>
      <c r="C1147" s="3" t="n">
        <v>23995.7</v>
      </c>
      <c r="D1147" s="3" t="n">
        <v>1392.6</v>
      </c>
      <c r="E1147" s="3" t="n">
        <v>1382.64</v>
      </c>
      <c r="F1147" s="4">
        <f>C1147/C1146-1</f>
        <v/>
      </c>
      <c r="G1147" s="4">
        <f>E1147/E1146-1</f>
        <v/>
      </c>
    </row>
    <row r="1148">
      <c r="A1148" s="2" t="n">
        <v>46141</v>
      </c>
      <c r="B1148" s="3" t="n">
        <v>24177.65</v>
      </c>
      <c r="C1148" s="3" t="n">
        <v>24177.65</v>
      </c>
      <c r="D1148" s="3" t="n">
        <v>1389</v>
      </c>
      <c r="E1148" s="3" t="n">
        <v>1379.07</v>
      </c>
      <c r="F1148" s="4">
        <f>C1148/C1147-1</f>
        <v/>
      </c>
      <c r="G1148" s="4">
        <f>E1148/E1147-1</f>
        <v/>
      </c>
    </row>
    <row r="1149">
      <c r="A1149" s="2" t="n">
        <v>46142</v>
      </c>
      <c r="B1149" s="3" t="n">
        <v>23997.55</v>
      </c>
      <c r="C1149" s="3" t="n">
        <v>23997.55</v>
      </c>
      <c r="D1149" s="3" t="n">
        <v>1375.7</v>
      </c>
      <c r="E1149" s="3" t="n">
        <v>1365.86</v>
      </c>
      <c r="F1149" s="4">
        <f>C1149/C1148-1</f>
        <v/>
      </c>
      <c r="G1149" s="4">
        <f>E1149/E1148-1</f>
        <v/>
      </c>
    </row>
    <row r="1150">
      <c r="A1150" s="2" t="n">
        <v>46146</v>
      </c>
      <c r="B1150" s="3" t="n">
        <v>24119.3</v>
      </c>
      <c r="C1150" s="3" t="n">
        <v>24119.3</v>
      </c>
      <c r="D1150" s="3" t="n">
        <v>1364.6</v>
      </c>
      <c r="E1150" s="3" t="n">
        <v>1354.84</v>
      </c>
      <c r="F1150" s="4">
        <f>C1150/C1149-1</f>
        <v/>
      </c>
      <c r="G1150" s="4">
        <f>E1150/E1149-1</f>
        <v/>
      </c>
    </row>
    <row r="1151">
      <c r="A1151" s="2" t="n">
        <v>46147</v>
      </c>
      <c r="B1151" s="3" t="n">
        <v>24032.8</v>
      </c>
      <c r="C1151" s="3" t="n">
        <v>24032.8</v>
      </c>
      <c r="D1151" s="3" t="n">
        <v>1364.2</v>
      </c>
      <c r="E1151" s="3" t="n">
        <v>1354.45</v>
      </c>
      <c r="F1151" s="4">
        <f>C1151/C1150-1</f>
        <v/>
      </c>
      <c r="G1151" s="4">
        <f>E1151/E1150-1</f>
        <v/>
      </c>
    </row>
    <row r="1152">
      <c r="A1152" s="2" t="n">
        <v>46148</v>
      </c>
      <c r="B1152" s="3" t="n">
        <v>24330.95</v>
      </c>
      <c r="C1152" s="3" t="n">
        <v>24330.95</v>
      </c>
      <c r="D1152" s="3" t="n">
        <v>1421.5</v>
      </c>
      <c r="E1152" s="3" t="n">
        <v>1411.34</v>
      </c>
      <c r="F1152" s="4">
        <f>C1152/C1151-1</f>
        <v/>
      </c>
      <c r="G1152" s="4">
        <f>E1152/E1151-1</f>
        <v/>
      </c>
    </row>
    <row r="1153">
      <c r="A1153" s="2" t="n">
        <v>46149</v>
      </c>
      <c r="B1153" s="3" t="n">
        <v>24326.65</v>
      </c>
      <c r="C1153" s="3" t="n">
        <v>24326.65</v>
      </c>
      <c r="D1153" s="3" t="n">
        <v>1450.4</v>
      </c>
      <c r="E1153" s="3" t="n">
        <v>1440.03</v>
      </c>
      <c r="F1153" s="4">
        <f>C1153/C1152-1</f>
        <v/>
      </c>
      <c r="G1153" s="4">
        <f>E1153/E1152-1</f>
        <v/>
      </c>
    </row>
    <row r="1154">
      <c r="A1154" s="2" t="n">
        <v>46150</v>
      </c>
      <c r="B1154" s="3" t="n">
        <v>24176.15</v>
      </c>
      <c r="C1154" s="3" t="n">
        <v>24176.15</v>
      </c>
      <c r="D1154" s="3" t="n">
        <v>1476</v>
      </c>
      <c r="E1154" s="3" t="n">
        <v>1465.45</v>
      </c>
      <c r="F1154" s="4">
        <f>C1154/C1153-1</f>
        <v/>
      </c>
      <c r="G1154" s="4">
        <f>E1154/E1153-1</f>
        <v/>
      </c>
    </row>
    <row r="1155">
      <c r="A1155" s="2" t="n">
        <v>46153</v>
      </c>
      <c r="B1155" s="3" t="n">
        <v>23815.85</v>
      </c>
      <c r="C1155" s="3" t="n">
        <v>23815.85</v>
      </c>
      <c r="D1155" s="3" t="n">
        <v>1437.2</v>
      </c>
      <c r="E1155" s="3" t="n">
        <v>1426.93</v>
      </c>
      <c r="F1155" s="4">
        <f>C1155/C1154-1</f>
        <v/>
      </c>
      <c r="G1155" s="4">
        <f>E1155/E1154-1</f>
        <v/>
      </c>
    </row>
    <row r="1156">
      <c r="A1156" s="2" t="n">
        <v>46154</v>
      </c>
      <c r="B1156" s="3" t="n">
        <v>23379.55</v>
      </c>
      <c r="C1156" s="3" t="n">
        <v>23379.55</v>
      </c>
      <c r="D1156" s="3" t="n">
        <v>1453</v>
      </c>
      <c r="E1156" s="3" t="n">
        <v>1442.61</v>
      </c>
      <c r="F1156" s="4">
        <f>C1156/C1155-1</f>
        <v/>
      </c>
      <c r="G1156" s="4">
        <f>E1156/E1155-1</f>
        <v/>
      </c>
    </row>
    <row r="1157">
      <c r="A1157" s="2" t="n">
        <v>46155</v>
      </c>
      <c r="B1157" s="3" t="n">
        <v>23412.6</v>
      </c>
      <c r="C1157" s="3" t="n">
        <v>23412.6</v>
      </c>
      <c r="D1157" s="3" t="n">
        <v>1445.6</v>
      </c>
      <c r="E1157" s="3" t="n">
        <v>1435.27</v>
      </c>
      <c r="F1157" s="4">
        <f>C1157/C1156-1</f>
        <v/>
      </c>
      <c r="G1157" s="4">
        <f>E1157/E1156-1</f>
        <v/>
      </c>
    </row>
    <row r="1158">
      <c r="A1158" s="2" t="n">
        <v>46156</v>
      </c>
      <c r="B1158" s="3" t="n">
        <v>23689.6</v>
      </c>
      <c r="C1158" s="3" t="n">
        <v>23689.6</v>
      </c>
      <c r="D1158" s="3" t="n">
        <v>1483.8</v>
      </c>
      <c r="E1158" s="3" t="n">
        <v>1473.19</v>
      </c>
      <c r="F1158" s="4">
        <f>C1158/C1157-1</f>
        <v/>
      </c>
      <c r="G1158" s="4">
        <f>E1158/E1157-1</f>
        <v/>
      </c>
    </row>
    <row r="1159">
      <c r="A1159" s="2" t="n">
        <v>46157</v>
      </c>
      <c r="B1159" s="3" t="n">
        <v>23643.5</v>
      </c>
      <c r="C1159" s="3" t="n">
        <v>23643.5</v>
      </c>
      <c r="D1159" s="3" t="n">
        <v>1467.7</v>
      </c>
      <c r="E1159" s="3" t="n">
        <v>1457.21</v>
      </c>
      <c r="F1159" s="4">
        <f>C1159/C1158-1</f>
        <v/>
      </c>
      <c r="G1159" s="4">
        <f>E1159/E1158-1</f>
        <v/>
      </c>
    </row>
    <row r="1160">
      <c r="A1160" s="2" t="n">
        <v>46160</v>
      </c>
      <c r="B1160" s="3" t="n">
        <v>23649.95</v>
      </c>
      <c r="C1160" s="3" t="n">
        <v>23649.95</v>
      </c>
      <c r="D1160" s="3" t="n">
        <v>1450.2</v>
      </c>
      <c r="E1160" s="3" t="n">
        <v>1439.83</v>
      </c>
      <c r="F1160" s="4">
        <f>C1160/C1159-1</f>
        <v/>
      </c>
      <c r="G1160" s="4">
        <f>E1160/E1159-1</f>
        <v/>
      </c>
    </row>
    <row r="1161">
      <c r="A1161" s="2" t="n">
        <v>46161</v>
      </c>
      <c r="B1161" s="3" t="n">
        <v>23618</v>
      </c>
      <c r="C1161" s="3" t="n">
        <v>23618</v>
      </c>
      <c r="D1161" s="3" t="n">
        <v>1455.8</v>
      </c>
      <c r="E1161" s="3" t="n">
        <v>1445.39</v>
      </c>
      <c r="F1161" s="4">
        <f>C1161/C1160-1</f>
        <v/>
      </c>
      <c r="G1161" s="4">
        <f>E1161/E1160-1</f>
        <v/>
      </c>
    </row>
    <row r="1162">
      <c r="A1162" s="2" t="n">
        <v>46162</v>
      </c>
      <c r="B1162" s="3" t="n">
        <v>23659</v>
      </c>
      <c r="C1162" s="3" t="n">
        <v>23659</v>
      </c>
      <c r="D1162" s="3" t="n">
        <v>1455.6</v>
      </c>
      <c r="E1162" s="3" t="n">
        <v>1445.19</v>
      </c>
      <c r="F1162" s="4">
        <f>C1162/C1161-1</f>
        <v/>
      </c>
      <c r="G1162" s="4">
        <f>E1162/E1161-1</f>
        <v/>
      </c>
    </row>
    <row r="1163">
      <c r="A1163" s="2" t="n">
        <v>46163</v>
      </c>
      <c r="B1163" s="3" t="n">
        <v>23654.7</v>
      </c>
      <c r="C1163" s="3" t="n">
        <v>23654.7</v>
      </c>
      <c r="D1163" s="3" t="n">
        <v>1472.8</v>
      </c>
      <c r="E1163" s="3" t="n">
        <v>1462.27</v>
      </c>
      <c r="F1163" s="4">
        <f>C1163/C1162-1</f>
        <v/>
      </c>
      <c r="G1163" s="4">
        <f>E1163/E1162-1</f>
        <v/>
      </c>
    </row>
    <row r="1164">
      <c r="A1164" s="2" t="n">
        <v>46164</v>
      </c>
      <c r="B1164" s="3" t="n">
        <v>23719.3</v>
      </c>
      <c r="C1164" s="3" t="n">
        <v>23719.3</v>
      </c>
      <c r="D1164" s="3" t="n">
        <v>1478.4</v>
      </c>
      <c r="E1164" s="3" t="n">
        <v>1467.83</v>
      </c>
      <c r="F1164" s="4">
        <f>C1164/C1163-1</f>
        <v/>
      </c>
      <c r="G1164" s="4">
        <f>E1164/E1163-1</f>
        <v/>
      </c>
    </row>
    <row r="1165">
      <c r="A1165" s="2" t="n">
        <v>46167</v>
      </c>
      <c r="B1165" s="3" t="n">
        <v>24031.7</v>
      </c>
      <c r="C1165" s="3" t="n">
        <v>24031.7</v>
      </c>
      <c r="D1165" s="3" t="n">
        <v>1477.2</v>
      </c>
      <c r="E1165" s="3" t="n">
        <v>1466.64</v>
      </c>
      <c r="F1165" s="4">
        <f>C1165/C1164-1</f>
        <v/>
      </c>
      <c r="G1165" s="4">
        <f>E1165/E1164-1</f>
        <v/>
      </c>
    </row>
    <row r="1166">
      <c r="A1166" s="2" t="n">
        <v>46168</v>
      </c>
      <c r="B1166" s="3" t="n">
        <v>23913.7</v>
      </c>
      <c r="C1166" s="3" t="n">
        <v>23913.7</v>
      </c>
      <c r="D1166" s="3" t="n">
        <v>1478.5</v>
      </c>
      <c r="E1166" s="3" t="n">
        <v>1467.93</v>
      </c>
      <c r="F1166" s="4">
        <f>C1166/C1165-1</f>
        <v/>
      </c>
      <c r="G1166" s="4">
        <f>E1166/E1165-1</f>
        <v/>
      </c>
    </row>
    <row r="1167">
      <c r="A1167" s="2" t="n">
        <v>46169</v>
      </c>
      <c r="B1167" s="3" t="n">
        <v>23907.15</v>
      </c>
      <c r="C1167" s="3" t="n">
        <v>23907.15</v>
      </c>
      <c r="D1167" s="3" t="n">
        <v>1480.7</v>
      </c>
      <c r="E1167" s="3" t="n">
        <v>1470.11</v>
      </c>
      <c r="F1167" s="4">
        <f>C1167/C1166-1</f>
        <v/>
      </c>
      <c r="G1167" s="4">
        <f>E1167/E1166-1</f>
        <v/>
      </c>
    </row>
    <row r="1168">
      <c r="A1168" s="2" t="n">
        <v>46171</v>
      </c>
      <c r="B1168" s="3" t="n">
        <v>23547.75</v>
      </c>
      <c r="C1168" s="3" t="n">
        <v>23547.75</v>
      </c>
      <c r="D1168" s="3" t="n">
        <v>1482.8</v>
      </c>
      <c r="E1168" s="3" t="n">
        <v>1472.2</v>
      </c>
      <c r="F1168" s="4">
        <f>C1168/C1167-1</f>
        <v/>
      </c>
      <c r="G1168" s="4">
        <f>E1168/E1167-1</f>
        <v/>
      </c>
    </row>
    <row r="1169">
      <c r="A1169" s="2" t="n">
        <v>46174</v>
      </c>
      <c r="B1169" s="3" t="n">
        <v>23382.6</v>
      </c>
      <c r="C1169" s="3" t="n">
        <v>23382.6</v>
      </c>
      <c r="D1169" s="3" t="n">
        <v>1457.2</v>
      </c>
      <c r="E1169" s="3" t="n">
        <v>1446.78</v>
      </c>
      <c r="F1169" s="4">
        <f>C1169/C1168-1</f>
        <v/>
      </c>
      <c r="G1169" s="4">
        <f>E1169/E1168-1</f>
        <v/>
      </c>
    </row>
    <row r="1170">
      <c r="A1170" s="2" t="n">
        <v>46175</v>
      </c>
      <c r="B1170" s="3" t="n">
        <v>23483.55</v>
      </c>
      <c r="C1170" s="3" t="n">
        <v>23483.55</v>
      </c>
      <c r="D1170" s="3" t="n">
        <v>1454.6</v>
      </c>
      <c r="E1170" s="3" t="n">
        <v>1444.2</v>
      </c>
      <c r="F1170" s="4">
        <f>C1170/C1169-1</f>
        <v/>
      </c>
      <c r="G1170" s="4">
        <f>E1170/E1169-1</f>
        <v/>
      </c>
    </row>
    <row r="1171">
      <c r="A1171" s="2" t="n">
        <v>46176</v>
      </c>
      <c r="B1171" s="3" t="n">
        <v>23405.6</v>
      </c>
      <c r="C1171" s="3" t="n">
        <v>23405.6</v>
      </c>
      <c r="D1171" s="3" t="n">
        <v>1469.2</v>
      </c>
      <c r="E1171" s="3" t="n">
        <v>1458.7</v>
      </c>
      <c r="F1171" s="4">
        <f>C1171/C1170-1</f>
        <v/>
      </c>
      <c r="G1171" s="4">
        <f>E1171/E1170-1</f>
        <v/>
      </c>
    </row>
    <row r="1172">
      <c r="A1172" s="2" t="n">
        <v>46177</v>
      </c>
      <c r="B1172" s="3" t="n">
        <v>23416.55</v>
      </c>
      <c r="C1172" s="3" t="n">
        <v>23416.55</v>
      </c>
      <c r="D1172" s="3" t="n">
        <v>1471.1</v>
      </c>
      <c r="E1172" s="3" t="n">
        <v>1460.58</v>
      </c>
      <c r="F1172" s="4">
        <f>C1172/C1171-1</f>
        <v/>
      </c>
      <c r="G1172" s="4">
        <f>E1172/E1171-1</f>
        <v/>
      </c>
    </row>
    <row r="1173">
      <c r="A1173" s="2" t="n">
        <v>46178</v>
      </c>
      <c r="B1173" s="3" t="n">
        <v>23366.7</v>
      </c>
      <c r="C1173" s="3" t="n">
        <v>23366.7</v>
      </c>
      <c r="D1173" s="3" t="n">
        <v>1476.6</v>
      </c>
      <c r="E1173" s="3" t="n">
        <v>1466.04</v>
      </c>
      <c r="F1173" s="4">
        <f>C1173/C1172-1</f>
        <v/>
      </c>
      <c r="G1173" s="4">
        <f>E1173/E1172-1</f>
        <v/>
      </c>
    </row>
    <row r="1174">
      <c r="A1174" s="2" t="n">
        <v>46181</v>
      </c>
      <c r="B1174" s="3" t="n">
        <v>23123</v>
      </c>
      <c r="C1174" s="3" t="n">
        <v>23123</v>
      </c>
      <c r="D1174" s="3" t="n">
        <v>1459.8</v>
      </c>
      <c r="E1174" s="3" t="n">
        <v>1449.36</v>
      </c>
      <c r="F1174" s="4">
        <f>C1174/C1173-1</f>
        <v/>
      </c>
      <c r="G1174" s="4">
        <f>E1174/E1173-1</f>
        <v/>
      </c>
    </row>
    <row r="1175">
      <c r="A1175" s="2" t="n">
        <v>46182</v>
      </c>
      <c r="B1175" s="3" t="n">
        <v>23242.1</v>
      </c>
      <c r="C1175" s="3" t="n">
        <v>23242.1</v>
      </c>
      <c r="D1175" s="3" t="n">
        <v>1481.8</v>
      </c>
      <c r="E1175" s="3" t="n">
        <v>1471.21</v>
      </c>
      <c r="F1175" s="4">
        <f>C1175/C1174-1</f>
        <v/>
      </c>
      <c r="G1175" s="4">
        <f>E1175/E1174-1</f>
        <v/>
      </c>
    </row>
    <row r="1176">
      <c r="A1176" s="2" t="n">
        <v>46183</v>
      </c>
      <c r="B1176" s="3" t="n">
        <v>23214.95</v>
      </c>
      <c r="C1176" s="3" t="n">
        <v>23214.95</v>
      </c>
      <c r="D1176" s="3" t="n">
        <v>1506.5</v>
      </c>
      <c r="E1176" s="3" t="n">
        <v>1495.73</v>
      </c>
      <c r="F1176" s="4">
        <f>C1176/C1175-1</f>
        <v/>
      </c>
      <c r="G1176" s="4">
        <f>E1176/E1175-1</f>
        <v/>
      </c>
    </row>
    <row r="1177">
      <c r="A1177" s="2" t="n">
        <v>46184</v>
      </c>
      <c r="B1177" s="3" t="n">
        <v>23161.6</v>
      </c>
      <c r="C1177" s="3" t="n">
        <v>23161.6</v>
      </c>
      <c r="D1177" s="3" t="n">
        <v>1498.8</v>
      </c>
      <c r="E1177" s="3" t="n">
        <v>1488.08</v>
      </c>
      <c r="F1177" s="4">
        <f>C1177/C1176-1</f>
        <v/>
      </c>
      <c r="G1177" s="4">
        <f>E1177/E1176-1</f>
        <v/>
      </c>
    </row>
    <row r="1178">
      <c r="A1178" s="2" t="n">
        <v>46185</v>
      </c>
      <c r="B1178" s="3" t="n">
        <v>23622.9</v>
      </c>
      <c r="C1178" s="3" t="n">
        <v>23622.9</v>
      </c>
      <c r="D1178" s="3" t="n">
        <v>1535.5</v>
      </c>
      <c r="E1178" s="3" t="n">
        <v>1524.52</v>
      </c>
      <c r="F1178" s="4">
        <f>C1178/C1177-1</f>
        <v/>
      </c>
      <c r="G1178" s="4">
        <f>E1178/E1177-1</f>
        <v/>
      </c>
    </row>
    <row r="1179">
      <c r="A1179" s="2" t="n">
        <v>46188</v>
      </c>
      <c r="B1179" s="3" t="n">
        <v>23853.9</v>
      </c>
      <c r="C1179" s="3" t="n">
        <v>23853.9</v>
      </c>
      <c r="D1179" s="3" t="n">
        <v>1571</v>
      </c>
      <c r="E1179" s="3" t="n">
        <v>1559.77</v>
      </c>
      <c r="F1179" s="4">
        <f>C1179/C1178-1</f>
        <v/>
      </c>
      <c r="G1179" s="4">
        <f>E1179/E1178-1</f>
        <v/>
      </c>
    </row>
    <row r="1180">
      <c r="A1180" s="2" t="n">
        <v>46189</v>
      </c>
      <c r="B1180" s="3" t="n">
        <v>23989.15</v>
      </c>
      <c r="C1180" s="3" t="n">
        <v>23989.15</v>
      </c>
      <c r="D1180" s="3" t="n">
        <v>1571.2</v>
      </c>
      <c r="E1180" s="3" t="n">
        <v>1559.97</v>
      </c>
      <c r="F1180" s="4">
        <f>C1180/C1179-1</f>
        <v/>
      </c>
      <c r="G1180" s="4">
        <f>E1180/E1179-1</f>
        <v/>
      </c>
    </row>
    <row r="1181">
      <c r="A1181" s="2" t="n">
        <v>46190</v>
      </c>
      <c r="B1181" s="3" t="n">
        <v>24085.7</v>
      </c>
      <c r="C1181" s="3" t="n">
        <v>24085.7</v>
      </c>
      <c r="D1181" s="3" t="n">
        <v>1578.2</v>
      </c>
      <c r="E1181" s="3" t="n">
        <v>1566.92</v>
      </c>
      <c r="F1181" s="4">
        <f>C1181/C1180-1</f>
        <v/>
      </c>
      <c r="G1181" s="4">
        <f>E1181/E1180-1</f>
        <v/>
      </c>
    </row>
    <row r="1182">
      <c r="A1182" s="2" t="n">
        <v>46191</v>
      </c>
      <c r="B1182" s="3" t="n">
        <v>24168</v>
      </c>
      <c r="C1182" s="3" t="n">
        <v>24168</v>
      </c>
      <c r="D1182" s="3" t="n">
        <v>1581.1</v>
      </c>
      <c r="E1182" s="3" t="n">
        <v>1569.8</v>
      </c>
      <c r="F1182" s="4">
        <f>C1182/C1181-1</f>
        <v/>
      </c>
      <c r="G1182" s="4">
        <f>E1182/E1181-1</f>
        <v/>
      </c>
    </row>
    <row r="1183">
      <c r="A1183" s="2" t="n">
        <v>46192</v>
      </c>
      <c r="B1183" s="3" t="n">
        <v>24013.1</v>
      </c>
      <c r="C1183" s="3" t="n">
        <v>24013.1</v>
      </c>
      <c r="D1183" s="3" t="n">
        <v>1579.9</v>
      </c>
      <c r="E1183" s="3" t="n">
        <v>1568.61</v>
      </c>
      <c r="F1183" s="4">
        <f>C1183/C1182-1</f>
        <v/>
      </c>
      <c r="G1183" s="4">
        <f>E1183/E1182-1</f>
        <v/>
      </c>
    </row>
    <row r="1184">
      <c r="A1184" s="2" t="n">
        <v>46195</v>
      </c>
      <c r="B1184" s="3" t="n">
        <v>24102.9</v>
      </c>
      <c r="C1184" s="3" t="n">
        <v>24102.9</v>
      </c>
      <c r="D1184" s="3" t="n">
        <v>1572.2</v>
      </c>
      <c r="E1184" s="3" t="n">
        <v>1560.96</v>
      </c>
      <c r="F1184" s="4">
        <f>C1184/C1183-1</f>
        <v/>
      </c>
      <c r="G1184" s="4">
        <f>E1184/E1183-1</f>
        <v/>
      </c>
    </row>
    <row r="1185">
      <c r="A1185" s="2" t="n">
        <v>46196</v>
      </c>
      <c r="B1185" s="3" t="n">
        <v>23824.1</v>
      </c>
      <c r="C1185" s="3" t="n">
        <v>23824.1</v>
      </c>
      <c r="D1185" s="3" t="n">
        <v>1566.7</v>
      </c>
      <c r="E1185" s="3" t="n">
        <v>1555.5</v>
      </c>
      <c r="F1185" s="4">
        <f>C1185/C1184-1</f>
        <v/>
      </c>
      <c r="G1185" s="4">
        <f>E1185/E1184-1</f>
        <v/>
      </c>
    </row>
    <row r="1186">
      <c r="A1186" s="2" t="n">
        <v>46197</v>
      </c>
      <c r="B1186" s="3" t="n">
        <v>24021.65</v>
      </c>
      <c r="C1186" s="3" t="n">
        <v>24021.65</v>
      </c>
      <c r="D1186" s="3" t="n">
        <v>1579</v>
      </c>
      <c r="E1186" s="3" t="n">
        <v>1567.71</v>
      </c>
      <c r="F1186" s="4">
        <f>C1186/C1185-1</f>
        <v/>
      </c>
      <c r="G1186" s="4">
        <f>E1186/E1185-1</f>
        <v/>
      </c>
    </row>
    <row r="1187">
      <c r="A1187" s="2" t="n">
        <v>46198</v>
      </c>
      <c r="B1187" s="3" t="n">
        <v>24056</v>
      </c>
      <c r="C1187" s="3" t="n">
        <v>24056</v>
      </c>
      <c r="D1187" s="3" t="n">
        <v>1597</v>
      </c>
      <c r="E1187" s="3" t="n">
        <v>1585.58</v>
      </c>
      <c r="F1187" s="4">
        <f>C1187/C1186-1</f>
        <v/>
      </c>
      <c r="G1187" s="4">
        <f>E1187/E1186-1</f>
        <v/>
      </c>
    </row>
    <row r="1188">
      <c r="A1188" s="2" t="n">
        <v>46202</v>
      </c>
      <c r="B1188" s="3" t="n">
        <v>23946.25</v>
      </c>
      <c r="C1188" s="3" t="n">
        <v>23946.25</v>
      </c>
      <c r="D1188" s="3" t="n">
        <v>1599.6</v>
      </c>
      <c r="E1188" s="3" t="n">
        <v>1588.16</v>
      </c>
      <c r="F1188" s="4">
        <f>C1188/C1187-1</f>
        <v/>
      </c>
      <c r="G1188" s="4">
        <f>E1188/E1187-1</f>
        <v/>
      </c>
    </row>
    <row r="1189">
      <c r="A1189" s="2" t="n">
        <v>46203</v>
      </c>
      <c r="B1189" s="3" t="n">
        <v>23865.75</v>
      </c>
      <c r="C1189" s="3" t="n">
        <v>23865.75</v>
      </c>
      <c r="D1189" s="3" t="n">
        <v>1592.7</v>
      </c>
      <c r="E1189" s="3" t="n">
        <v>1581.31</v>
      </c>
      <c r="F1189" s="4">
        <f>C1189/C1188-1</f>
        <v/>
      </c>
      <c r="G1189" s="4">
        <f>E1189/E1188-1</f>
        <v/>
      </c>
    </row>
    <row r="1190">
      <c r="A1190" s="2" t="n">
        <v>46204</v>
      </c>
      <c r="B1190" s="3" t="n">
        <v>24005.85</v>
      </c>
      <c r="C1190" s="3" t="n">
        <v>24005.85</v>
      </c>
      <c r="D1190" s="3" t="n">
        <v>1581.9</v>
      </c>
      <c r="E1190" s="3" t="n">
        <v>1570.59</v>
      </c>
      <c r="F1190" s="4">
        <f>C1190/C1189-1</f>
        <v/>
      </c>
      <c r="G1190" s="4">
        <f>E1190/E1189-1</f>
        <v/>
      </c>
    </row>
    <row r="1191">
      <c r="A1191" s="2" t="n">
        <v>46205</v>
      </c>
      <c r="B1191" s="3" t="n">
        <v>24175.7</v>
      </c>
      <c r="C1191" s="3" t="n">
        <v>24175.7</v>
      </c>
      <c r="D1191" s="3" t="n">
        <v>1605.4</v>
      </c>
      <c r="E1191" s="3" t="n">
        <v>1593.92</v>
      </c>
      <c r="F1191" s="4">
        <f>C1191/C1190-1</f>
        <v/>
      </c>
      <c r="G1191" s="4">
        <f>E1191/E1190-1</f>
        <v/>
      </c>
    </row>
    <row r="1192">
      <c r="A1192" s="2" t="n">
        <v>46206</v>
      </c>
      <c r="B1192" s="3" t="n">
        <v>24270.85</v>
      </c>
      <c r="C1192" s="3" t="n">
        <v>24270.85</v>
      </c>
      <c r="D1192" s="3" t="n">
        <v>1598</v>
      </c>
      <c r="E1192" s="3" t="n">
        <v>1586.58</v>
      </c>
      <c r="F1192" s="4">
        <f>C1192/C1191-1</f>
        <v/>
      </c>
      <c r="G1192" s="4">
        <f>E1192/E1191-1</f>
        <v/>
      </c>
    </row>
    <row r="1193">
      <c r="A1193" s="2" t="n">
        <v>46209</v>
      </c>
      <c r="B1193" s="3" t="n">
        <v>24430.35</v>
      </c>
      <c r="C1193" s="3" t="n">
        <v>24430.35</v>
      </c>
      <c r="D1193" s="3" t="n">
        <v>1616.9</v>
      </c>
      <c r="E1193" s="3" t="n">
        <v>1605.34</v>
      </c>
      <c r="F1193" s="4">
        <f>C1193/C1192-1</f>
        <v/>
      </c>
      <c r="G1193" s="4">
        <f>E1193/E1192-1</f>
        <v/>
      </c>
    </row>
    <row r="1194">
      <c r="A1194" s="2" t="n">
        <v>46210</v>
      </c>
      <c r="B1194" s="3" t="n">
        <v>24398.7</v>
      </c>
      <c r="C1194" s="3" t="n">
        <v>24398.7</v>
      </c>
      <c r="D1194" s="3" t="n">
        <v>1622.3</v>
      </c>
      <c r="E1194" s="3" t="n">
        <v>1610.7</v>
      </c>
      <c r="F1194" s="4">
        <f>C1194/C1193-1</f>
        <v/>
      </c>
      <c r="G1194" s="4">
        <f>E1194/E1193-1</f>
        <v/>
      </c>
    </row>
    <row r="1195">
      <c r="A1195" s="2" t="n">
        <v>46211</v>
      </c>
      <c r="B1195" s="3" t="n">
        <v>23882.05</v>
      </c>
      <c r="C1195" s="3" t="n">
        <v>23882.05</v>
      </c>
      <c r="D1195" s="3" t="n">
        <v>1570.4</v>
      </c>
      <c r="E1195" s="3" t="n">
        <v>1559.17</v>
      </c>
      <c r="F1195" s="4">
        <f>C1195/C1194-1</f>
        <v/>
      </c>
      <c r="G1195" s="4">
        <f>E1195/E1194-1</f>
        <v/>
      </c>
    </row>
    <row r="1196">
      <c r="A1196" s="2" t="n">
        <v>46212</v>
      </c>
      <c r="B1196" s="3" t="n">
        <v>23962.8</v>
      </c>
      <c r="C1196" s="3" t="n">
        <v>23962.8</v>
      </c>
      <c r="D1196" s="3" t="n">
        <v>1590.4</v>
      </c>
      <c r="E1196" s="3" t="n">
        <v>1579.03</v>
      </c>
      <c r="F1196" s="4">
        <f>C1196/C1195-1</f>
        <v/>
      </c>
      <c r="G1196" s="4">
        <f>E1196/E1195-1</f>
        <v/>
      </c>
    </row>
    <row r="1197">
      <c r="A1197" s="2" t="n">
        <v>46213</v>
      </c>
      <c r="B1197" s="3" t="n">
        <v>24206.9</v>
      </c>
      <c r="C1197" s="3" t="n">
        <v>24206.9</v>
      </c>
      <c r="D1197" s="3" t="n">
        <v>1598.5</v>
      </c>
      <c r="E1197" s="3" t="n">
        <v>1587.07</v>
      </c>
      <c r="F1197" s="4">
        <f>C1197/C1196-1</f>
        <v/>
      </c>
      <c r="G1197" s="4">
        <f>E1197/E1196-1</f>
        <v/>
      </c>
    </row>
    <row r="1198">
      <c r="A1198" s="2" t="n">
        <v>46216</v>
      </c>
      <c r="B1198" s="3" t="n">
        <v>24211</v>
      </c>
      <c r="C1198" s="3" t="n">
        <v>24211</v>
      </c>
      <c r="D1198" s="3" t="n">
        <v>1580.7</v>
      </c>
      <c r="E1198" s="3" t="n">
        <v>1569.4</v>
      </c>
      <c r="F1198" s="4">
        <f>C1198/C1197-1</f>
        <v/>
      </c>
      <c r="G1198" s="4">
        <f>E1198/E1197-1</f>
        <v/>
      </c>
    </row>
    <row r="1199">
      <c r="A1199" s="2" t="n">
        <v>46217</v>
      </c>
      <c r="B1199" s="3" t="n">
        <v>24052.05</v>
      </c>
      <c r="C1199" s="3" t="n">
        <v>24052.05</v>
      </c>
      <c r="D1199" s="3" t="n">
        <v>1555.4</v>
      </c>
      <c r="E1199" s="3" t="n">
        <v>1544.28</v>
      </c>
      <c r="F1199" s="4">
        <f>C1199/C1198-1</f>
        <v/>
      </c>
      <c r="G1199" s="4">
        <f>E1199/E1198-1</f>
        <v/>
      </c>
    </row>
    <row r="1200">
      <c r="A1200" s="2" t="n">
        <v>46218</v>
      </c>
      <c r="B1200" s="3" t="n">
        <v>24078.5</v>
      </c>
      <c r="C1200" s="3" t="n">
        <v>24078.5</v>
      </c>
      <c r="D1200" s="3" t="n">
        <v>1568.8</v>
      </c>
      <c r="E1200" s="3" t="n">
        <v>1557.58</v>
      </c>
      <c r="F1200" s="4">
        <f>C1200/C1199-1</f>
        <v/>
      </c>
      <c r="G1200" s="4">
        <f>E1200/E1199-1</f>
        <v/>
      </c>
    </row>
    <row r="1201">
      <c r="A1201" s="2" t="n">
        <v>46219</v>
      </c>
      <c r="B1201" s="3" t="n">
        <v>24072.75</v>
      </c>
      <c r="C1201" s="3" t="n">
        <v>24072.75</v>
      </c>
      <c r="D1201" s="3" t="n">
        <v>1559.6</v>
      </c>
      <c r="E1201" s="3" t="n">
        <v>1548.45</v>
      </c>
      <c r="F1201" s="4">
        <f>C1201/C1200-1</f>
        <v/>
      </c>
      <c r="G1201" s="4">
        <f>E1201/E1200-1</f>
        <v/>
      </c>
    </row>
    <row r="1202">
      <c r="A1202" s="2" t="n">
        <v>46220</v>
      </c>
      <c r="B1202" s="3" t="n">
        <v>24334.3</v>
      </c>
      <c r="C1202" s="3" t="n">
        <v>24334.3</v>
      </c>
      <c r="D1202" s="3" t="n">
        <v>1566.1</v>
      </c>
      <c r="E1202" s="3" t="n">
        <v>1554.9</v>
      </c>
      <c r="F1202" s="4">
        <f>C1202/C1201-1</f>
        <v/>
      </c>
      <c r="G1202" s="4">
        <f>E1202/E1201-1</f>
        <v/>
      </c>
    </row>
    <row r="1203">
      <c r="A1203" s="2" t="n">
        <v>46223</v>
      </c>
      <c r="B1203" s="3" t="n">
        <v>24238.5</v>
      </c>
      <c r="C1203" s="3" t="n">
        <v>24238.5</v>
      </c>
      <c r="D1203" s="3" t="n">
        <v>1565.8</v>
      </c>
      <c r="E1203" s="3" t="n">
        <v>1554.61</v>
      </c>
      <c r="F1203" s="4">
        <f>C1203/C1202-1</f>
        <v/>
      </c>
      <c r="G1203" s="4">
        <f>E1203/E1202-1</f>
        <v/>
      </c>
    </row>
    <row r="1204">
      <c r="A1204" s="2" t="n">
        <v>46224</v>
      </c>
      <c r="B1204" s="3" t="n">
        <v>24187.7</v>
      </c>
      <c r="C1204" s="3" t="n">
        <v>24187.7</v>
      </c>
      <c r="D1204" s="3" t="n">
        <v>1591.3</v>
      </c>
      <c r="E1204" s="3" t="n">
        <v>1579.92</v>
      </c>
      <c r="F1204" s="4">
        <f>C1204/C1203-1</f>
        <v/>
      </c>
      <c r="G1204" s="4">
        <f>E1204/E1203-1</f>
        <v/>
      </c>
    </row>
    <row r="1205">
      <c r="A1205" s="2" t="n">
        <v>46225</v>
      </c>
      <c r="B1205" s="3" t="n">
        <v>23996.25</v>
      </c>
      <c r="C1205" s="3" t="n">
        <v>23996.25</v>
      </c>
      <c r="D1205" s="3" t="n">
        <v>1608.6</v>
      </c>
      <c r="E1205" s="3" t="n">
        <v>1597.1</v>
      </c>
      <c r="F1205" s="4">
        <f>C1205/C1204-1</f>
        <v/>
      </c>
      <c r="G1205" s="4">
        <f>E1205/E1204-1</f>
        <v/>
      </c>
    </row>
    <row r="1206">
      <c r="A1206" s="2" t="n">
        <v>46226</v>
      </c>
      <c r="B1206" s="3" t="n">
        <v>23869.6</v>
      </c>
      <c r="C1206" s="3" t="n">
        <v>23869.6</v>
      </c>
      <c r="D1206" s="3" t="n">
        <v>1564.2</v>
      </c>
      <c r="E1206" s="3" t="n">
        <v>1564.2</v>
      </c>
      <c r="F1206" s="4">
        <f>C1206/C1205-1</f>
        <v/>
      </c>
      <c r="G1206" s="4">
        <f>E1206/E1205-1</f>
        <v/>
      </c>
    </row>
    <row r="1207">
      <c r="A1207" s="2" t="n">
        <v>46227</v>
      </c>
      <c r="B1207" s="3" t="n">
        <v>23767.45</v>
      </c>
      <c r="C1207" s="3" t="n">
        <v>23767.45</v>
      </c>
      <c r="D1207" s="3" t="n">
        <v>1570.9</v>
      </c>
      <c r="E1207" s="3" t="n">
        <v>1570.9</v>
      </c>
      <c r="F1207" s="4">
        <f>C1207/C1206-1</f>
        <v/>
      </c>
      <c r="G1207" s="4">
        <f>E1207/E1206-1</f>
        <v/>
      </c>
    </row>
    <row r="1208">
      <c r="A1208" s="2" t="n">
        <v>46230</v>
      </c>
      <c r="B1208" s="3" t="n">
        <v>23995.95</v>
      </c>
      <c r="C1208" s="3" t="n">
        <v>23995.95</v>
      </c>
      <c r="D1208" s="3" t="n">
        <v>1611.3</v>
      </c>
      <c r="E1208" s="3" t="n">
        <v>1611.3</v>
      </c>
      <c r="F1208" s="4">
        <f>C1208/C1207-1</f>
        <v/>
      </c>
      <c r="G1208" s="4">
        <f>E1208/E1207-1</f>
        <v/>
      </c>
    </row>
    <row r="1209">
      <c r="A1209" s="2" t="n">
        <v>46231</v>
      </c>
      <c r="B1209" s="3" t="n">
        <v>23985.35</v>
      </c>
      <c r="C1209" s="3" t="n">
        <v>23985.35</v>
      </c>
      <c r="D1209" s="3" t="n">
        <v>1619.6</v>
      </c>
      <c r="E1209" s="3" t="n">
        <v>1619.6</v>
      </c>
      <c r="F1209" s="4">
        <f>C1209/C1208-1</f>
        <v/>
      </c>
      <c r="G1209" s="4">
        <f>E1209/E1208-1</f>
        <v/>
      </c>
    </row>
    <row r="1210">
      <c r="A1210" s="2" t="n">
        <v>46232</v>
      </c>
      <c r="B1210" s="3" t="n">
        <v>24250.2</v>
      </c>
      <c r="C1210" s="3" t="n">
        <v>24250.2</v>
      </c>
      <c r="D1210" s="3" t="n">
        <v>1629.9</v>
      </c>
      <c r="E1210" s="3" t="n">
        <v>1629.9</v>
      </c>
      <c r="F1210" s="4">
        <f>C1210/C1209-1</f>
        <v/>
      </c>
      <c r="G1210" s="4">
        <f>E1210/E1209-1</f>
        <v/>
      </c>
    </row>
    <row r="1211">
      <c r="A1211" s="2" t="n">
        <v>46233</v>
      </c>
      <c r="B1211" s="3" t="n">
        <v>24317.15</v>
      </c>
      <c r="C1211" s="3" t="n">
        <v>24317.15</v>
      </c>
      <c r="D1211" s="3" t="n">
        <v>1629.9</v>
      </c>
      <c r="E1211" s="3" t="n">
        <v>1629.9</v>
      </c>
      <c r="F1211" s="4">
        <f>C1211/C1210-1</f>
        <v/>
      </c>
      <c r="G1211" s="4">
        <f>E1211/E1210-1</f>
        <v/>
      </c>
    </row>
    <row r="1212">
      <c r="A1212" s="2" t="n">
        <v>46234</v>
      </c>
      <c r="B1212" s="3" t="n">
        <v>24383.6</v>
      </c>
      <c r="C1212" s="3" t="n">
        <v>24383.6</v>
      </c>
      <c r="D1212" s="3" t="n">
        <v>1611.4</v>
      </c>
      <c r="E1212" s="3" t="n">
        <v>1611.4</v>
      </c>
      <c r="F1212" s="4">
        <f>C1212/C1211-1</f>
        <v/>
      </c>
      <c r="G1212" s="4">
        <f>E1212/E1211-1</f>
        <v/>
      </c>
    </row>
    <row r="1213">
      <c r="A1213" s="2" t="n">
        <v>46237</v>
      </c>
      <c r="B1213" s="3" t="n">
        <v>24774.3</v>
      </c>
      <c r="C1213" s="3" t="n">
        <v>24774.3</v>
      </c>
      <c r="D1213" s="3" t="n">
        <v>1642.5</v>
      </c>
      <c r="E1213" s="3" t="n">
        <v>1642.5</v>
      </c>
      <c r="F1213" s="4">
        <f>C1213/C1212-1</f>
        <v/>
      </c>
      <c r="G1213" s="4">
        <f>E1213/E1212-1</f>
        <v/>
      </c>
    </row>
    <row r="1214">
      <c r="A1214" s="2" t="n">
        <v>46238</v>
      </c>
      <c r="B1214" s="3" t="n">
        <v>24614.9</v>
      </c>
      <c r="C1214" s="3" t="n">
        <v>24614.9</v>
      </c>
      <c r="D1214" s="3" t="n">
        <v>1620</v>
      </c>
      <c r="E1214" s="3" t="n">
        <v>1620</v>
      </c>
      <c r="F1214" s="4">
        <f>C1214/C1213-1</f>
        <v/>
      </c>
      <c r="G1214" s="4">
        <f>E1214/E1213-1</f>
        <v/>
      </c>
    </row>
    <row r="1215">
      <c r="A1215" s="2" t="n">
        <v>46239</v>
      </c>
      <c r="B1215" s="3" t="n">
        <v>24624.65</v>
      </c>
      <c r="C1215" s="3" t="n">
        <v>24624.65</v>
      </c>
      <c r="D1215" s="3" t="n">
        <v>1665</v>
      </c>
      <c r="E1215" s="3" t="n">
        <v>1665</v>
      </c>
      <c r="F1215" s="4">
        <f>C1215/C1214-1</f>
        <v/>
      </c>
      <c r="G1215" s="4">
        <f>E1215/E1214-1</f>
        <v/>
      </c>
    </row>
    <row r="1216">
      <c r="A1216" s="2" t="n">
        <v>46240</v>
      </c>
      <c r="B1216" s="3" t="n">
        <v>24636</v>
      </c>
      <c r="C1216" s="3" t="n">
        <v>24636</v>
      </c>
      <c r="D1216" s="3" t="n">
        <v>1686</v>
      </c>
      <c r="E1216" s="3" t="n">
        <v>1686</v>
      </c>
      <c r="F1216" s="4">
        <f>C1216/C1215-1</f>
        <v/>
      </c>
      <c r="G1216" s="4">
        <f>E1216/E1215-1</f>
        <v/>
      </c>
    </row>
    <row r="1217">
      <c r="A1217" s="2" t="n">
        <v>46241</v>
      </c>
      <c r="B1217" s="3" t="n">
        <v>24570.65</v>
      </c>
      <c r="C1217" s="3" t="n">
        <v>24570.65</v>
      </c>
      <c r="D1217" s="3" t="n">
        <v>1660</v>
      </c>
      <c r="E1217" s="3" t="n">
        <v>1660</v>
      </c>
      <c r="F1217" s="4">
        <f>C1217/C1216-1</f>
        <v/>
      </c>
      <c r="G1217" s="4">
        <f>E1217/E1216-1</f>
        <v/>
      </c>
    </row>
    <row r="1218">
      <c r="A1218" s="2" t="n">
        <v>46244</v>
      </c>
      <c r="B1218" s="3" t="n">
        <v>24583.8</v>
      </c>
      <c r="C1218" s="3" t="n">
        <v>24583.8</v>
      </c>
      <c r="D1218" s="3" t="n">
        <v>1685</v>
      </c>
      <c r="E1218" s="3" t="n">
        <v>1685</v>
      </c>
      <c r="F1218" s="4">
        <f>C1218/C1217-1</f>
        <v/>
      </c>
      <c r="G1218" s="4">
        <f>E1218/E1217-1</f>
        <v/>
      </c>
    </row>
    <row r="1219">
      <c r="A1219" s="2" t="n">
        <v>46245</v>
      </c>
      <c r="B1219" s="3" t="n">
        <v>24471.7</v>
      </c>
      <c r="C1219" s="3" t="n">
        <v>24471.7</v>
      </c>
      <c r="D1219" s="3" t="n">
        <v>1685.8</v>
      </c>
      <c r="E1219" s="3" t="n">
        <v>1685.8</v>
      </c>
      <c r="F1219" s="4">
        <f>C1219/C1218-1</f>
        <v/>
      </c>
      <c r="G1219" s="4">
        <f>E1219/E1218-1</f>
        <v/>
      </c>
    </row>
    <row r="1220">
      <c r="A1220" s="2" t="n">
        <v>46246</v>
      </c>
      <c r="B1220" s="3" t="n">
        <v>24435.95</v>
      </c>
      <c r="C1220" s="3" t="n">
        <v>24435.95</v>
      </c>
      <c r="D1220" s="3" t="n">
        <v>1701.5</v>
      </c>
      <c r="E1220" s="3" t="n">
        <v>1701.5</v>
      </c>
      <c r="F1220" s="4">
        <f>C1220/C1219-1</f>
        <v/>
      </c>
      <c r="G1220" s="4">
        <f>E1220/E1219-1</f>
        <v/>
      </c>
    </row>
    <row r="1221">
      <c r="A1221" s="2" t="n">
        <v>46247</v>
      </c>
      <c r="B1221" s="3" t="n">
        <v>24395.85</v>
      </c>
      <c r="C1221" s="3" t="n">
        <v>24395.85</v>
      </c>
      <c r="D1221" s="3" t="n">
        <v>1696.1</v>
      </c>
      <c r="E1221" s="3" t="n">
        <v>1696.1</v>
      </c>
      <c r="F1221" s="4">
        <f>C1221/C1220-1</f>
        <v/>
      </c>
      <c r="G1221" s="4">
        <f>E1221/E1220-1</f>
        <v/>
      </c>
    </row>
    <row r="1222">
      <c r="A1222" s="2" t="n">
        <v>46248</v>
      </c>
      <c r="B1222" s="3" t="n">
        <v>24366</v>
      </c>
      <c r="C1222" s="3" t="n">
        <v>24366</v>
      </c>
      <c r="D1222" s="3" t="n">
        <v>1693</v>
      </c>
      <c r="E1222" s="3" t="n">
        <v>1693</v>
      </c>
      <c r="F1222" s="4">
        <f>C1222/C1221-1</f>
        <v/>
      </c>
      <c r="G1222" s="4">
        <f>E1222/E1221-1</f>
        <v/>
      </c>
    </row>
    <row r="1223">
      <c r="A1223" s="2" t="n">
        <v>46251</v>
      </c>
      <c r="B1223" s="3" t="n">
        <v>24287.65</v>
      </c>
      <c r="C1223" s="3" t="n">
        <v>24287.65</v>
      </c>
      <c r="D1223" s="3" t="n">
        <v>1669</v>
      </c>
      <c r="E1223" s="3" t="n">
        <v>1669</v>
      </c>
      <c r="F1223" s="4">
        <f>C1223/C1222-1</f>
        <v/>
      </c>
      <c r="G1223" s="4">
        <f>E1223/E1222-1</f>
        <v/>
      </c>
    </row>
    <row r="1224">
      <c r="A1224" s="2" t="n">
        <v>46252</v>
      </c>
      <c r="B1224" s="3" t="n">
        <v>24154.9</v>
      </c>
      <c r="C1224" s="3" t="n">
        <v>24154.9</v>
      </c>
      <c r="D1224" s="3" t="n">
        <v>1674</v>
      </c>
      <c r="E1224" s="3" t="n">
        <v>1674</v>
      </c>
      <c r="F1224" s="4">
        <f>C1224/C1223-1</f>
        <v/>
      </c>
      <c r="G1224" s="4">
        <f>E1224/E1223-1</f>
        <v/>
      </c>
    </row>
    <row r="1225">
      <c r="A1225" s="2" t="n">
        <v>46253</v>
      </c>
      <c r="B1225" s="3" t="n">
        <v>24078.3</v>
      </c>
      <c r="C1225" s="3" t="n">
        <v>24078.3</v>
      </c>
      <c r="D1225" s="3" t="n">
        <v>1650</v>
      </c>
      <c r="E1225" s="3" t="n">
        <v>1650</v>
      </c>
      <c r="F1225" s="4">
        <f>C1225/C1224-1</f>
        <v/>
      </c>
      <c r="G1225" s="4">
        <f>E1225/E1224-1</f>
        <v/>
      </c>
    </row>
    <row r="1226">
      <c r="A1226" s="2" t="n">
        <v>46254</v>
      </c>
      <c r="B1226" s="3" t="n">
        <v>24231.85</v>
      </c>
      <c r="C1226" s="3" t="n">
        <v>24231.85</v>
      </c>
      <c r="D1226" s="3" t="n">
        <v>1660</v>
      </c>
      <c r="E1226" s="3" t="n">
        <v>1660</v>
      </c>
      <c r="F1226" s="4">
        <f>C1226/C1225-1</f>
        <v/>
      </c>
      <c r="G1226" s="4">
        <f>E1226/E1225-1</f>
        <v/>
      </c>
    </row>
    <row r="1227">
      <c r="A1227" s="2" t="n">
        <v>46255</v>
      </c>
      <c r="B1227" s="3" t="n">
        <v>24252</v>
      </c>
      <c r="C1227" s="3" t="n">
        <v>24252</v>
      </c>
      <c r="D1227" s="3" t="n">
        <v>1649</v>
      </c>
      <c r="E1227" s="3" t="n">
        <v>1649</v>
      </c>
      <c r="F1227" s="4">
        <f>C1227/C1226-1</f>
        <v/>
      </c>
      <c r="G1227" s="4">
        <f>E1227/E1226-1</f>
        <v/>
      </c>
    </row>
    <row r="1228">
      <c r="A1228" s="2" t="n">
        <v>46258</v>
      </c>
      <c r="B1228" s="3" t="n">
        <v>24219.05</v>
      </c>
      <c r="C1228" s="3" t="n">
        <v>24219.05</v>
      </c>
      <c r="D1228" s="3" t="n">
        <v>1660</v>
      </c>
      <c r="E1228" s="3" t="n">
        <v>1660</v>
      </c>
      <c r="F1228" s="4">
        <f>C1228/C1227-1</f>
        <v/>
      </c>
      <c r="G1228" s="4">
        <f>E1228/E1227-1</f>
        <v/>
      </c>
    </row>
    <row r="1229">
      <c r="A1229" s="2" t="n">
        <v>46259</v>
      </c>
      <c r="B1229" s="3" t="n">
        <v>24334.55</v>
      </c>
      <c r="C1229" s="3" t="n">
        <v>24334.55</v>
      </c>
      <c r="D1229" s="3" t="n">
        <v>1651.1</v>
      </c>
      <c r="E1229" s="3" t="n">
        <v>1651.1</v>
      </c>
      <c r="F1229" s="4">
        <f>C1229/C1228-1</f>
        <v/>
      </c>
      <c r="G1229" s="4">
        <f>E1229/E1228-1</f>
        <v/>
      </c>
    </row>
    <row r="1230">
      <c r="A1230" s="2" t="n">
        <v>46260</v>
      </c>
      <c r="B1230" s="3" t="n">
        <v>24207.75</v>
      </c>
      <c r="C1230" s="3" t="n">
        <v>24207.75</v>
      </c>
      <c r="D1230" s="3" t="n">
        <v>1650</v>
      </c>
      <c r="E1230" s="3" t="n">
        <v>1650</v>
      </c>
      <c r="F1230" s="4">
        <f>C1230/C1229-1</f>
        <v/>
      </c>
      <c r="G1230" s="4">
        <f>E1230/E1229-1</f>
        <v/>
      </c>
    </row>
    <row r="1231">
      <c r="A1231" s="2" t="n">
        <v>46261</v>
      </c>
      <c r="B1231" s="3" t="n">
        <v>24090.85</v>
      </c>
      <c r="C1231" s="3" t="n">
        <v>24090.85</v>
      </c>
      <c r="D1231" s="3" t="n">
        <v>1656</v>
      </c>
      <c r="E1231" s="3" t="n">
        <v>1656</v>
      </c>
      <c r="F1231" s="4">
        <f>C1231/C1230-1</f>
        <v/>
      </c>
      <c r="G1231" s="4">
        <f>E1231/E1230-1</f>
        <v/>
      </c>
    </row>
    <row r="1232">
      <c r="A1232" s="2" t="n">
        <v>46262</v>
      </c>
      <c r="B1232" s="3" t="n">
        <v>24175.65</v>
      </c>
      <c r="C1232" s="3" t="n">
        <v>24175.65</v>
      </c>
      <c r="D1232" s="3" t="n">
        <v>1629.5</v>
      </c>
      <c r="E1232" s="3" t="n">
        <v>1629.5</v>
      </c>
      <c r="F1232" s="4">
        <f>C1232/C1231-1</f>
        <v/>
      </c>
      <c r="G1232" s="4">
        <f>E1232/E1231-1</f>
        <v/>
      </c>
    </row>
    <row r="1233">
      <c r="A1233" s="2" t="n">
        <v>46265</v>
      </c>
      <c r="B1233" s="3" t="n">
        <v>24080.4</v>
      </c>
      <c r="C1233" s="3" t="n">
        <v>24080.4</v>
      </c>
      <c r="D1233" s="3" t="n">
        <v>1687.7</v>
      </c>
      <c r="E1233" s="3" t="n">
        <v>1687.7</v>
      </c>
      <c r="F1233" s="4">
        <f>C1233/C1232-1</f>
        <v/>
      </c>
      <c r="G1233" s="4">
        <f>E1233/E1232-1</f>
        <v/>
      </c>
    </row>
    <row r="1234">
      <c r="A1234" s="2" t="n">
        <v>46266</v>
      </c>
      <c r="B1234" s="3" t="n">
        <v>24055.8</v>
      </c>
      <c r="C1234" s="3" t="n">
        <v>24055.8</v>
      </c>
      <c r="D1234" s="3" t="n">
        <v>1643.5</v>
      </c>
      <c r="E1234" s="3" t="n">
        <v>1643.5</v>
      </c>
      <c r="F1234" s="4">
        <f>C1234/C1233-1</f>
        <v/>
      </c>
      <c r="G1234" s="4">
        <f>E1234/E1233-1</f>
        <v/>
      </c>
    </row>
    <row r="1235">
      <c r="A1235" s="2" t="n">
        <v>46267</v>
      </c>
      <c r="B1235" s="3" t="n">
        <v>23914.45</v>
      </c>
      <c r="C1235" s="3" t="n">
        <v>23914.45</v>
      </c>
      <c r="D1235" s="3" t="n">
        <v>1637</v>
      </c>
      <c r="E1235" s="3" t="n">
        <v>1637</v>
      </c>
      <c r="F1235" s="4">
        <f>C1235/C1234-1</f>
        <v/>
      </c>
      <c r="G1235" s="4">
        <f>E1235/E1234-1</f>
        <v/>
      </c>
    </row>
    <row r="1236">
      <c r="A1236" s="2" t="n">
        <v>46268</v>
      </c>
      <c r="B1236" s="3" t="n">
        <v>23873.45</v>
      </c>
      <c r="C1236" s="3" t="n">
        <v>23873.45</v>
      </c>
      <c r="D1236" s="3" t="n">
        <v>1638.3</v>
      </c>
      <c r="E1236" s="3" t="n">
        <v>1638.3</v>
      </c>
      <c r="F1236" s="4">
        <f>C1236/C1235-1</f>
        <v/>
      </c>
      <c r="G1236" s="4">
        <f>E1236/E1235-1</f>
        <v/>
      </c>
    </row>
  </sheetData>
  <autoFilter ref="A1:G1236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6" customWidth="1" min="3" max="3"/>
  </cols>
  <sheetData>
    <row r="1">
      <c r="A1" s="5" t="inlineStr">
        <is>
          <t>Pidilite Industries vs NIFTY 50 — Daily Return Regression</t>
        </is>
      </c>
    </row>
    <row r="2">
      <c r="A2" s="6" t="inlineStr">
        <is>
          <t>OLS fit:  Pidilite daily return (y)  =  slope x  NIFTY 50 daily return (x)  +  intercept</t>
        </is>
      </c>
    </row>
    <row r="3">
      <c r="A3" s="7" t="inlineStr">
        <is>
          <t>Regression results</t>
        </is>
      </c>
    </row>
    <row r="4">
      <c r="A4" s="8" t="inlineStr">
        <is>
          <t>Slope (beta vs NIFTY 50)</t>
        </is>
      </c>
      <c r="B4" s="9">
        <f>SLOPE(Data!$G$3:$G$1236,Data!$F$3:$F$1236)</f>
        <v/>
      </c>
      <c r="C4" s="10" t="inlineStr">
        <is>
          <t>Change in Pidilite's daily return per 1 unit change in NIFTY 50's daily return</t>
        </is>
      </c>
    </row>
    <row r="5">
      <c r="A5" s="11" t="inlineStr">
        <is>
          <t>Intercept (alpha, daily)</t>
        </is>
      </c>
      <c r="B5" s="12">
        <f>INTERCEPT(Data!$G$3:$G$1236,Data!$F$3:$F$1236)</f>
        <v/>
      </c>
      <c r="C5" s="10" t="inlineStr">
        <is>
          <t>Average daily return not explained by the index</t>
        </is>
      </c>
    </row>
    <row r="6">
      <c r="A6" s="11" t="inlineStr">
        <is>
          <t>R-squared</t>
        </is>
      </c>
      <c r="B6" s="13">
        <f>RSQ(Data!$G$3:$G$1236,Data!$F$3:$F$1236)</f>
        <v/>
      </c>
      <c r="C6" s="10" t="inlineStr">
        <is>
          <t>Share of Pidilite's daily variance explained by the index</t>
        </is>
      </c>
    </row>
    <row r="7">
      <c r="A7" s="11" t="inlineStr">
        <is>
          <t>Correlation (Pearson r)</t>
        </is>
      </c>
      <c r="B7" s="13">
        <f>CORREL(Data!$G$3:$G$1236,Data!$F$3:$F$1236)</f>
        <v/>
      </c>
      <c r="C7" s="10" t="inlineStr">
        <is>
          <t>Square root of R-squared</t>
        </is>
      </c>
    </row>
    <row r="8">
      <c r="A8" s="11" t="inlineStr">
        <is>
          <t>Standard error of slope</t>
        </is>
      </c>
      <c r="B8" s="13">
        <f>STEYX(Data!$G$3:$G$1236,Data!$F$3:$F$1236)/SQRT(DEVSQ(Data!$F$3:$F$1236))</f>
        <v/>
      </c>
      <c r="C8" s="10" t="inlineStr">
        <is>
          <t>Sampling error of the slope estimate</t>
        </is>
      </c>
    </row>
    <row r="9">
      <c r="A9" s="11" t="inlineStr">
        <is>
          <t>t-statistic of slope</t>
        </is>
      </c>
      <c r="B9" s="14">
        <f>B4/B8</f>
        <v/>
      </c>
      <c r="C9" s="10" t="inlineStr">
        <is>
          <t>Slope divided by its standard error; |t| &gt; 2 is significant at ~5%</t>
        </is>
      </c>
    </row>
    <row r="10">
      <c r="A10" s="11" t="inlineStr">
        <is>
          <t>Observations (n)</t>
        </is>
      </c>
      <c r="B10" s="15">
        <f>COUNT(Data!$G$3:$G$1236)</f>
        <v/>
      </c>
      <c r="C10" s="10" t="inlineStr">
        <is>
          <t>Trading days with a return for both series</t>
        </is>
      </c>
    </row>
    <row r="12">
      <c r="A12" s="7" t="inlineStr">
        <is>
          <t>Descriptive statistics</t>
        </is>
      </c>
    </row>
    <row r="13">
      <c r="A13" s="11" t="inlineStr">
        <is>
          <t>Mean daily return - NIFTY 50</t>
        </is>
      </c>
      <c r="B13" s="12">
        <f>AVERAGE(Data!$F$3:$F$1236)</f>
        <v/>
      </c>
    </row>
    <row r="14">
      <c r="A14" s="11" t="inlineStr">
        <is>
          <t>Mean daily return - Pidilite</t>
        </is>
      </c>
      <c r="B14" s="12">
        <f>AVERAGE(Data!$G$3:$G$1236)</f>
        <v/>
      </c>
    </row>
    <row r="15">
      <c r="A15" s="11" t="inlineStr">
        <is>
          <t>Daily volatility - NIFTY 50</t>
        </is>
      </c>
      <c r="B15" s="12">
        <f>STDEV(Data!$F$3:$F$1236)</f>
        <v/>
      </c>
      <c r="C15" s="10" t="inlineStr">
        <is>
          <t>Sample standard deviation of daily returns</t>
        </is>
      </c>
    </row>
    <row r="16">
      <c r="A16" s="11" t="inlineStr">
        <is>
          <t>Daily volatility - Pidilite</t>
        </is>
      </c>
      <c r="B16" s="12">
        <f>STDEV(Data!$G$3:$G$1236)</f>
        <v/>
      </c>
      <c r="C16" s="10" t="inlineStr">
        <is>
          <t>Sample standard deviation of daily returns</t>
        </is>
      </c>
    </row>
    <row r="17">
      <c r="A17" s="11" t="inlineStr">
        <is>
          <t>Annualised volatility - NIFTY 50</t>
        </is>
      </c>
      <c r="B17" s="16">
        <f>B15*SQRT($B$23)</f>
        <v/>
      </c>
    </row>
    <row r="18">
      <c r="A18" s="11" t="inlineStr">
        <is>
          <t>Annualised volatility - Pidilite</t>
        </is>
      </c>
      <c r="B18" s="16">
        <f>B16*SQRT($B$23)</f>
        <v/>
      </c>
    </row>
    <row r="19">
      <c r="A19" s="11" t="inlineStr">
        <is>
          <t>Covariance (sample)</t>
        </is>
      </c>
      <c r="B19" s="17">
        <f>SUMPRODUCT((Data!$F$3:$F$1236-AVERAGE(Data!$F$3:$F$1236))*(Data!$G$3:$G$1236-AVERAGE(Data!$G$3:$G$1236)))/(B10-1)</f>
        <v/>
      </c>
      <c r="C19" s="10" t="inlineStr">
        <is>
          <t>Sample covariance of the two return series</t>
        </is>
      </c>
    </row>
    <row r="20">
      <c r="A20" s="11" t="inlineStr">
        <is>
          <t>Variance of NIFTY 50 (sample)</t>
        </is>
      </c>
      <c r="B20" s="17">
        <f>VAR(Data!$F$3:$F$1236)</f>
        <v/>
      </c>
    </row>
    <row r="21">
      <c r="A21" s="11" t="inlineStr">
        <is>
          <t>Slope cross-check (Cov / Var)</t>
        </is>
      </c>
      <c r="B21" s="13">
        <f>B19/B20</f>
        <v/>
      </c>
      <c r="C21" s="10" t="inlineStr">
        <is>
          <t>Must equal the SLOPE result above</t>
        </is>
      </c>
    </row>
    <row r="23">
      <c r="A23" s="11" t="inlineStr">
        <is>
          <t>Trading days per year (assumption)</t>
        </is>
      </c>
      <c r="B23" s="18" t="n">
        <v>252</v>
      </c>
      <c r="C23" s="10" t="inlineStr">
        <is>
          <t>Standard convention for annualising Indian equity volatility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5" t="inlineStr">
        <is>
          <t>Sources, definitions and assumptions</t>
        </is>
      </c>
    </row>
    <row r="3">
      <c r="A3" s="7" t="inlineStr">
        <is>
          <t>Instruments</t>
        </is>
      </c>
    </row>
    <row r="4">
      <c r="A4" s="19" t="inlineStr">
        <is>
          <t>NIFTY 50 (x axis)</t>
        </is>
      </c>
      <c r="B4" s="20" t="inlineStr">
        <is>
          <t>Yahoo Finance symbol ^NSEI — NSE India benchmark index.</t>
        </is>
      </c>
    </row>
    <row r="5">
      <c r="A5" s="19" t="inlineStr">
        <is>
          <t>Pidilite (y axis)</t>
        </is>
      </c>
      <c r="B5" s="20" t="inlineStr">
        <is>
          <t>Yahoo Finance symbol PIDILITIND.NS — Pidilite Industries Ltd, NSE India. Interpreted as the requested 'Pidilite Inc'; there is no separately listed entity by that exact name.</t>
        </is>
      </c>
    </row>
    <row r="7">
      <c r="A7" s="7" t="inlineStr">
        <is>
          <t>Data</t>
        </is>
      </c>
    </row>
    <row r="8">
      <c r="A8" s="19" t="inlineStr">
        <is>
          <t>Source</t>
        </is>
      </c>
      <c r="B8" s="20" t="inlineStr">
        <is>
          <t>Yahoo Finance chart API (query1.finance.yahoo.com/v8/finance/chart), range=5y, interval=1d, retrieved 2026-09-05.</t>
        </is>
      </c>
    </row>
    <row r="9">
      <c r="A9" s="19" t="inlineStr">
        <is>
          <t>Period covered</t>
        </is>
      </c>
      <c r="B9" s="20" t="inlineStr">
        <is>
          <t>2021-09-06 to 2026-09-03 (5 years of daily bars).</t>
        </is>
      </c>
    </row>
    <row r="10">
      <c r="A10" s="19" t="inlineStr">
        <is>
          <t>Rows on Data sheet</t>
        </is>
      </c>
      <c r="B10" s="20" t="inlineStr">
        <is>
          <t>1235 trading days common to both series; 1234 daily returns (the first date has no prior close).</t>
        </is>
      </c>
    </row>
    <row r="11">
      <c r="A11" s="19" t="inlineStr">
        <is>
          <t>Alignment</t>
        </is>
      </c>
      <c r="B11" s="20" t="inlineStr">
        <is>
          <t>Dates are inner-joined, so only sessions on which both the index and the stock traded are kept. This avoids spurious zero or stale returns on non-common holidays.</t>
        </is>
      </c>
    </row>
    <row r="12">
      <c r="A12" s="19" t="inlineStr">
        <is>
          <t>Prices</t>
        </is>
      </c>
      <c r="B12" s="20" t="inlineStr">
        <is>
          <t>Both raw Close and Adjusted Close are shown. Adjusted Close is corrected for splits and dividends.</t>
        </is>
      </c>
    </row>
    <row r="14">
      <c r="A14" s="7" t="inlineStr">
        <is>
          <t>Calculations</t>
        </is>
      </c>
    </row>
    <row r="15">
      <c r="A15" s="19" t="inlineStr">
        <is>
          <t>Daily % return</t>
        </is>
      </c>
      <c r="B15" s="20" t="inlineStr">
        <is>
          <t>(Adjusted Close today / Adjusted Close previous session) - 1, computed on Adjusted Close so the series is a total return. Stored as a fraction and displayed as a percentage.</t>
        </is>
      </c>
    </row>
    <row r="16">
      <c r="A16" s="19" t="inlineStr">
        <is>
          <t>Slope</t>
        </is>
      </c>
      <c r="B16" s="20" t="inlineStr">
        <is>
          <t>Ordinary least squares SLOPE(y, x) with NIFTY 50 returns as x and Pidilite returns as y. This is Pidilite's raw (unadjusted) beta against the NIFTY 50.</t>
        </is>
      </c>
    </row>
    <row r="17">
      <c r="A17" s="19" t="inlineStr">
        <is>
          <t>Units</t>
        </is>
      </c>
      <c r="B17" s="20" t="inlineStr">
        <is>
          <t>Slope is unit-free: it is identical whether both series are expressed as fractions or as percentages.</t>
        </is>
      </c>
    </row>
    <row r="18">
      <c r="A18" s="19" t="inlineStr">
        <is>
          <t>Annualisation</t>
        </is>
      </c>
      <c r="B18" s="20" t="inlineStr">
        <is>
          <t>Daily volatility x SQRT(252). 252 trading days per year is an assumption, set in cell Regression!B21.</t>
        </is>
      </c>
    </row>
    <row r="20">
      <c r="A20" s="7" t="inlineStr">
        <is>
          <t>Verification</t>
        </is>
      </c>
    </row>
    <row r="21">
      <c r="A21" s="19" t="inlineStr">
        <is>
          <t>Independent check</t>
        </is>
      </c>
      <c r="B21" s="20" t="inlineStr">
        <is>
          <t>The workbook's cells hold live formulas, not pasted numbers, and Excel recalculates them on open. The same regression computed independently in Python (numpy least squares) at build time gave: n = 1234  |  slope (beta) = 0.6887  |  intercept = 0.0182% per day  |  R-squared = 0.1967  |  correlation = 0.4435. The Regression sheet's 'Slope cross-check (Cov / Var)' cell is a second, in-sheet check that must match the SLOPE result.</t>
        </is>
      </c>
    </row>
    <row r="22">
      <c r="A22" s="19" t="inlineStr">
        <is>
          <t>Recalculation</t>
        </is>
      </c>
      <c r="B22" s="20" t="inlineStr">
        <is>
          <t>This file was written by openpyxl, which stores formulas without cached results. Full-calculation-on-load is set, so Excel or LibreOffice fills in every value the first time the file is opened.</t>
        </is>
      </c>
    </row>
    <row r="24">
      <c r="A24" s="7" t="inlineStr">
        <is>
          <t>Caveats</t>
        </is>
      </c>
    </row>
    <row r="25">
      <c r="A25" s="19" t="inlineStr">
        <is>
          <t>Raw beta</t>
        </is>
      </c>
      <c r="B25" s="20" t="inlineStr">
        <is>
          <t>No Blume or Vasicek adjustment and no risk-free rate is subtracted; this is a total-return beta, not a CAPM excess-return beta.</t>
        </is>
      </c>
    </row>
    <row r="26">
      <c r="A26" s="19" t="inlineStr">
        <is>
          <t>Stability</t>
        </is>
      </c>
      <c r="B26" s="20" t="inlineStr">
        <is>
          <t>Beta estimated over a 5-year window is a single point estimate and is not stable over sub-periods.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2026-09-05T05:44:32Z</dcterms:created>
  <dcterms:modified xmlns:dcterms="http://purl.org/dc/terms/" xmlns:xsi="http://www.w3.org/2001/XMLSchema-instance" xsi:type="dcterms:W3CDTF">2026-09-05T05:44:33Z</dcterms:modified>
</cp:coreProperties>
</file>